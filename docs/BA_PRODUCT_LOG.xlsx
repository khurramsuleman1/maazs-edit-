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hopify Live Products" sheetId="2" state="visible" r:id="rId4"/>
    <sheet name="3D Website Products" sheetId="3" state="visible" r:id="rId5"/>
    <sheet name="Shopify Collections" sheetId="4" state="visible" r:id="rId6"/>
    <sheet name="Unmatched" sheetId="5" state="visible" r:id="rId7"/>
  </sheets>
  <definedNames>
    <definedName function="false" hidden="true" localSheetId="2" name="_xlnm._FilterDatabase" vbProcedure="false">'3D Website Products'!$A$1:$M$199</definedName>
    <definedName function="false" hidden="true" localSheetId="3" name="_xlnm._FilterDatabase" vbProcedure="false">'Shopify Collections'!$A$1:$H$39</definedName>
    <definedName function="false" hidden="true" localSheetId="1" name="_xlnm._FilterDatabase" vbProcedure="false">'Shopify Live Products'!$A$1:$W$507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<sst xmlns="http://schemas.openxmlformats.org/spreadsheetml/2006/main" count="8917" uniqueCount="3691">
  <si>
    <t xml:space="preserve">BLACK AESTHETICS — PRODUCT LOG (3D website vs live Shopify)</t>
  </si>
  <si>
    <t xml:space="preserve">Generated 2026-07-12 from Shopify Admin MCP — blackaestheticspk.com (PKR)</t>
  </si>
  <si>
    <t xml:space="preserve">Live Shopify products (all)</t>
  </si>
  <si>
    <t xml:space="preserve">Shopify products with status ACTIVE</t>
  </si>
  <si>
    <t xml:space="preserve">Shopify products in DRAFT</t>
  </si>
  <si>
    <t xml:space="preserve">Shopify collections</t>
  </si>
  <si>
    <t xml:space="preserve">Products in the 3D website</t>
  </si>
  <si>
    <t xml:space="preserve">3D products matched to a live Shopify product</t>
  </si>
  <si>
    <t xml:space="preserve">3D products with NO live Shopify product</t>
  </si>
  <si>
    <t xml:space="preserve">Live Shopify products shown in the 3D website</t>
  </si>
  <si>
    <t xml:space="preserve">Live Shopify products NOT yet in the 3D website</t>
  </si>
  <si>
    <t xml:space="preserve">Purpose: emulate live Shopify data inside the 3D website so Storefront checkout wiring is a drop-in step.</t>
  </si>
  <si>
    <t xml:space="preserve">Machine-readable version: docs/SHOPIFY_PRODUCT_ALIGNMENT.json (collection order, handles, variant IDs, matches).</t>
  </si>
  <si>
    <t xml:space="preserve">Title</t>
  </si>
  <si>
    <t xml:space="preserve">Handle</t>
  </si>
  <si>
    <t xml:space="preserve">Product GID</t>
  </si>
  <si>
    <t xml:space="preserve">Status</t>
  </si>
  <si>
    <t xml:space="preserve">Vendor</t>
  </si>
  <si>
    <t xml:space="preserve">Type</t>
  </si>
  <si>
    <t xml:space="preserve">Tags</t>
  </si>
  <si>
    <t xml:space="preserve">Collections</t>
  </si>
  <si>
    <t xml:space="preserve">Price Min (PKR)</t>
  </si>
  <si>
    <t xml:space="preserve">Price Max (PKR)</t>
  </si>
  <si>
    <t xml:space="preserve">Inventory</t>
  </si>
  <si>
    <t xml:space="preserve">Variant Count</t>
  </si>
  <si>
    <t xml:space="preserve">Variants (title @ price (qty))</t>
  </si>
  <si>
    <t xml:space="preserve">First Variant GID</t>
  </si>
  <si>
    <t xml:space="preserve">Available</t>
  </si>
  <si>
    <t xml:space="preserve">Featured Image</t>
  </si>
  <si>
    <t xml:space="preserve">Created</t>
  </si>
  <si>
    <t xml:space="preserve">Published</t>
  </si>
  <si>
    <t xml:space="preserve">In 3D Website</t>
  </si>
  <si>
    <t xml:space="preserve">Local Product ID</t>
  </si>
  <si>
    <t xml:space="preserve">Local Category</t>
  </si>
  <si>
    <t xml:space="preserve">Local Asset</t>
  </si>
  <si>
    <t xml:space="preserve">Match Confidence</t>
  </si>
  <si>
    <t xml:space="preserve">Blue Lightening Dragon</t>
  </si>
  <si>
    <t xml:space="preserve">blue-lightening-dragon</t>
  </si>
  <si>
    <t xml:space="preserve">gid://shopify/Product/7405669711971</t>
  </si>
  <si>
    <t xml:space="preserve">ACTIVE</t>
  </si>
  <si>
    <t xml:space="preserve">Black Aesthetics</t>
  </si>
  <si>
    <t xml:space="preserve">Digital Art, Poster</t>
  </si>
  <si>
    <t xml:space="preserve">Modern Art | Digital Art</t>
  </si>
  <si>
    <t xml:space="preserve">6x9 inches @ 3500.00 (0) | 8x12 inches @ 4200.00 (0) | 12x18 inches @ 5000.00 (0) | 18x24 inhces @ 5600.00 (0)</t>
  </si>
  <si>
    <t xml:space="preserve">gid://shopify/ProductVariant/42125524926563</t>
  </si>
  <si>
    <t xml:space="preserve">https://cdn.shopify.com/s/files/1/0572/0077/1171/files/Artboard9_06ac12e1-600a-45a3-973f-6d450d881301.png?v=1756315786</t>
  </si>
  <si>
    <t xml:space="preserve">2024-05-01</t>
  </si>
  <si>
    <t xml:space="preserve">Dogg</t>
  </si>
  <si>
    <t xml:space="preserve">dogg</t>
  </si>
  <si>
    <t xml:space="preserve">gid://shopify/Product/7405738131555</t>
  </si>
  <si>
    <t xml:space="preserve">Personalities | Digital Art | Best Sellers</t>
  </si>
  <si>
    <t xml:space="preserve">6x9 inches @ 3500.00 (0) | 8x12 inches @ 4200.00 (0) | 12x18 inches @ 5000.00 (0) | 18x24 inches @ 5600.00 (0)</t>
  </si>
  <si>
    <t xml:space="preserve">gid://shopify/ProductVariant/43541219934307</t>
  </si>
  <si>
    <t xml:space="preserve">https://cdn.shopify.com/s/files/1/0572/0077/1171/files/Artboard9_3dc097da-9f05-452a-9c37-f7795ed0060a.png?v=1756330441</t>
  </si>
  <si>
    <t xml:space="preserve">Eagle Attack</t>
  </si>
  <si>
    <t xml:space="preserve">eagle-attack</t>
  </si>
  <si>
    <t xml:space="preserve">gid://shopify/Product/7405752811619</t>
  </si>
  <si>
    <t xml:space="preserve">Animals | Digital Art</t>
  </si>
  <si>
    <t xml:space="preserve">gid://shopify/ProductVariant/42125594656867</t>
  </si>
  <si>
    <t xml:space="preserve">https://cdn.shopify.com/s/files/1/0572/0077/1171/files/Artboard_6_91addfea-d8c7-4689-b69d-4cba8fbde1f8.png?v=1756385750</t>
  </si>
  <si>
    <t xml:space="preserve">Goku</t>
  </si>
  <si>
    <t xml:space="preserve">goku</t>
  </si>
  <si>
    <t xml:space="preserve">gid://shopify/Product/7405755367523</t>
  </si>
  <si>
    <t xml:space="preserve">Anime/Manga | Digital Art | Dragon Ball | Anime/Manga- Digital Art</t>
  </si>
  <si>
    <t xml:space="preserve">gid://shopify/ProductVariant/43541216165987</t>
  </si>
  <si>
    <t xml:space="preserve">https://cdn.shopify.com/s/files/1/0572/0077/1171/files/Artboard6_af76b9be-4af0-4641-81a1-21fb384efbd4.png?v=1756407500</t>
  </si>
  <si>
    <t xml:space="preserve">Smoking Lady</t>
  </si>
  <si>
    <t xml:space="preserve">paki-smoker-ladies</t>
  </si>
  <si>
    <t xml:space="preserve">gid://shopify/Product/7405759365219</t>
  </si>
  <si>
    <t xml:space="preserve">Digital Art | Best Sellers | Cultural Arts- Digital | Smoking Lady</t>
  </si>
  <si>
    <t xml:space="preserve">gid://shopify/ProductVariant/43541215805539</t>
  </si>
  <si>
    <t xml:space="preserve">https://cdn.shopify.com/s/files/1/0572/0077/1171/files/Artboard6_97beb49a-d157-4a63-b0d6-db772649836e.png?v=1756495196</t>
  </si>
  <si>
    <t xml:space="preserve">digital-smoking-lady-12x18</t>
  </si>
  <si>
    <t xml:space="preserve">digital-art</t>
  </si>
  <si>
    <t xml:space="preserve">/products/digital/final/smoking-lady-12x18.jpg</t>
  </si>
  <si>
    <t xml:space="preserve">fuzzy</t>
  </si>
  <si>
    <t xml:space="preserve">Smoking Lady Variant 2</t>
  </si>
  <si>
    <t xml:space="preserve">paki-smoker-ladies-1</t>
  </si>
  <si>
    <t xml:space="preserve">gid://shopify/Product/7405764018275</t>
  </si>
  <si>
    <t xml:space="preserve">Digital Art | Cultural Arts- Digital | Smoking Lady</t>
  </si>
  <si>
    <t xml:space="preserve">6x9 inches @ 3500.00 (-1) | 8x12 inches @ 4200.00 (-1) | 12x18 inches @ 5000.00 (0) | 16x24 inches @ 5600.00 (-1)</t>
  </si>
  <si>
    <t xml:space="preserve">gid://shopify/ProductVariant/43541215051875</t>
  </si>
  <si>
    <t xml:space="preserve">https://cdn.shopify.com/s/files/1/0572/0077/1171/files/Smoking_Lady_Variant_2.png?v=1756495423</t>
  </si>
  <si>
    <t xml:space="preserve">Whirling Dervish</t>
  </si>
  <si>
    <t xml:space="preserve">rumi-whirling-dervishes</t>
  </si>
  <si>
    <t xml:space="preserve">gid://shopify/Product/7405765165155</t>
  </si>
  <si>
    <t xml:space="preserve">Digital Art | Cultural Arts | Cultural Arts- Digital</t>
  </si>
  <si>
    <t xml:space="preserve">6x9 inches @ 3500.00 (0) | 8x12 inches @ 4200.00 (0) | 12x18 inches @ 5000.00 (0) | 16x24 inches @ 5600.00 (-1)</t>
  </si>
  <si>
    <t xml:space="preserve">gid://shopify/ProductVariant/43541214265443</t>
  </si>
  <si>
    <t xml:space="preserve">https://cdn.shopify.com/s/files/1/0572/0077/1171/files/Whirling_Dervish.png?v=1756496907</t>
  </si>
  <si>
    <t xml:space="preserve">digital-whirling-dervish</t>
  </si>
  <si>
    <t xml:space="preserve">/products/digital/final/whirling-dervish.jpg</t>
  </si>
  <si>
    <t xml:space="preserve">exact</t>
  </si>
  <si>
    <t xml:space="preserve">Whirling Dervish Variant 2</t>
  </si>
  <si>
    <t xml:space="preserve">rumi-whirling-dervishes-1</t>
  </si>
  <si>
    <t xml:space="preserve">gid://shopify/Product/7405766312035</t>
  </si>
  <si>
    <t xml:space="preserve">Digital Art | Best Sellers | Cultural Arts | Cultural Arts- Digital</t>
  </si>
  <si>
    <t xml:space="preserve">6x9 inches @ 3500.00 (-1) | 8x12 inches @ 4200.00 (0) | 12x18 inches @ 5000.00 (0) | 16x24 inches @ 5600.00 (-1)</t>
  </si>
  <si>
    <t xml:space="preserve">gid://shopify/ProductVariant/43539824869475</t>
  </si>
  <si>
    <t xml:space="preserve">https://cdn.shopify.com/s/files/1/0572/0077/1171/files/Whirling_Dervish_Variant_2.png?v=1756496986</t>
  </si>
  <si>
    <t xml:space="preserve">Adera</t>
  </si>
  <si>
    <t xml:space="preserve">adera</t>
  </si>
  <si>
    <t xml:space="preserve">gid://shopify/Product/7405777748067</t>
  </si>
  <si>
    <t xml:space="preserve">2D Wall-Art | Maths and Nature | Modern Art</t>
  </si>
  <si>
    <t xml:space="preserve">8x24 inches @ 2499.00 (0)</t>
  </si>
  <si>
    <t xml:space="preserve">gid://shopify/ProductVariant/41921256980579</t>
  </si>
  <si>
    <t xml:space="preserve">https://cdn.shopify.com/s/files/1/0572/0077/1171/files/Adera_2a1a0e1a-c26c-4531-a476-6c9ff971d428.png?v=1756236253</t>
  </si>
  <si>
    <t xml:space="preserve">wall-adera</t>
  </si>
  <si>
    <t xml:space="preserve">wall-art</t>
  </si>
  <si>
    <t xml:space="preserve">/products/wall-art/adera.svg</t>
  </si>
  <si>
    <t xml:space="preserve">Aries</t>
  </si>
  <si>
    <t xml:space="preserve">aries</t>
  </si>
  <si>
    <t xml:space="preserve">gid://shopify/Product/7405778927715</t>
  </si>
  <si>
    <t xml:space="preserve">2D Wall-Art | Animals</t>
  </si>
  <si>
    <t xml:space="preserve">12x10 inches @ 1999.00 (0) | 18x15 inches @ 2999.00 (0) | 24x20 inches @ 3999.00 (0)</t>
  </si>
  <si>
    <t xml:space="preserve">gid://shopify/ProductVariant/41972405305443</t>
  </si>
  <si>
    <t xml:space="preserve">https://cdn.shopify.com/s/files/1/0572/0077/1171/files/Aries_118e600b-8103-4f7e-b624-fcc682ae470a.png?v=1756237220</t>
  </si>
  <si>
    <t xml:space="preserve">wall-aries</t>
  </si>
  <si>
    <t xml:space="preserve">/products/wall-art/aries.svg</t>
  </si>
  <si>
    <t xml:space="preserve">Bull</t>
  </si>
  <si>
    <t xml:space="preserve">bull</t>
  </si>
  <si>
    <t xml:space="preserve">gid://shopify/Product/7405779452003</t>
  </si>
  <si>
    <t xml:space="preserve">10x18 inches @ 2499.00 (0) | 14x24 inches @ 3499.00 (0)</t>
  </si>
  <si>
    <t xml:space="preserve">gid://shopify/ProductVariant/41965720862819</t>
  </si>
  <si>
    <t xml:space="preserve">https://cdn.shopify.com/s/files/1/0572/0077/1171/files/Bull_9e89ce67-381b-42d3-b52a-c65b02738557.png?v=1756326830</t>
  </si>
  <si>
    <t xml:space="preserve">wall-bull</t>
  </si>
  <si>
    <t xml:space="preserve">/products/wall-art/bull.svg</t>
  </si>
  <si>
    <t xml:space="preserve">Cat</t>
  </si>
  <si>
    <t xml:space="preserve">cat</t>
  </si>
  <si>
    <t xml:space="preserve">gid://shopify/Product/7405779779683</t>
  </si>
  <si>
    <t xml:space="preserve">11x12 inches @ 1999.00 (0) | 16x18 inches @ 2999.00 (0) | 22x24 inches @ 3999.00 (0)</t>
  </si>
  <si>
    <t xml:space="preserve">gid://shopify/ProductVariant/41867185684579</t>
  </si>
  <si>
    <t xml:space="preserve">https://cdn.shopify.com/s/files/1/0572/0077/1171/files/Catcopy.png?v=1756327524</t>
  </si>
  <si>
    <t xml:space="preserve">wall-cat</t>
  </si>
  <si>
    <t xml:space="preserve">/products/wall-art/cat.svg</t>
  </si>
  <si>
    <t xml:space="preserve">Abstract Cat</t>
  </si>
  <si>
    <t xml:space="preserve">cat-1</t>
  </si>
  <si>
    <t xml:space="preserve">gid://shopify/Product/7405780041827</t>
  </si>
  <si>
    <t xml:space="preserve">2D Wall-Art | Animals | Modern Art</t>
  </si>
  <si>
    <t xml:space="preserve">6x18 inches @ 1999.00 (0) | 8x24 inches @ 2499.00 (0)</t>
  </si>
  <si>
    <t xml:space="preserve">gid://shopify/ProductVariant/41966097662051</t>
  </si>
  <si>
    <t xml:space="preserve">https://cdn.shopify.com/s/files/1/0572/0077/1171/files/Abstract_Cat.png?v=1756235207</t>
  </si>
  <si>
    <t xml:space="preserve">wall-abstract-cat</t>
  </si>
  <si>
    <t xml:space="preserve">/products/wall-art/abstract-cat.svg</t>
  </si>
  <si>
    <t xml:space="preserve">Circle of Life</t>
  </si>
  <si>
    <t xml:space="preserve">circle-of-life</t>
  </si>
  <si>
    <t xml:space="preserve">gid://shopify/Product/7405780402275</t>
  </si>
  <si>
    <t xml:space="preserve">2D Wall-Art | Maths and Nature | Modern Art | Cultural Arts- 2D</t>
  </si>
  <si>
    <t xml:space="preserve">12x12 inches @ 1999.00 (0) | 18x18 inches @ 2999.00 (0) | 24x24 inches @ 3999.00 (-1)</t>
  </si>
  <si>
    <t xml:space="preserve">gid://shopify/ProductVariant/41966121255011</t>
  </si>
  <si>
    <t xml:space="preserve">https://cdn.shopify.com/s/files/1/0572/0077/1171/files/Circle-of-Lifecopy.png?v=1756328139</t>
  </si>
  <si>
    <t xml:space="preserve">wall-circle-of-life</t>
  </si>
  <si>
    <t xml:space="preserve">/products/wall-art/circle-of-life.svg</t>
  </si>
  <si>
    <t xml:space="preserve">Cowboy</t>
  </si>
  <si>
    <t xml:space="preserve">cowboy</t>
  </si>
  <si>
    <t xml:space="preserve">gid://shopify/Product/7405785940067</t>
  </si>
  <si>
    <t xml:space="preserve">2D Wall-Art</t>
  </si>
  <si>
    <t xml:space="preserve">12x18 inches @ 5000.00 (0) | 16x24 inches @ 5600.00 (0)</t>
  </si>
  <si>
    <t xml:space="preserve">gid://shopify/ProductVariant/41966215397475</t>
  </si>
  <si>
    <t xml:space="preserve">https://cdn.shopify.com/s/files/1/0572/0077/1171/files/Cowboy_4f2ef5e2-76de-4a45-a2b2-3d75ee441600.png?v=1756328364</t>
  </si>
  <si>
    <t xml:space="preserve">wall-cowboy</t>
  </si>
  <si>
    <t xml:space="preserve">/products/wall-art/cowboy.svg</t>
  </si>
  <si>
    <t xml:space="preserve">Hat Lady</t>
  </si>
  <si>
    <t xml:space="preserve">daupor</t>
  </si>
  <si>
    <t xml:space="preserve">gid://shopify/Product/7405788266595</t>
  </si>
  <si>
    <t xml:space="preserve">2D Wall-Art | Minimalistic and Classical Art | Modern Art</t>
  </si>
  <si>
    <t xml:space="preserve">10x12 inches @ 1999.00 (0) | 15x18 inches @ 2999.00 (0) | 20x24 inches @ 3999.00 (0)</t>
  </si>
  <si>
    <t xml:space="preserve">gid://shopify/ProductVariant/41966227095651</t>
  </si>
  <si>
    <t xml:space="preserve">https://cdn.shopify.com/s/files/1/0572/0077/1171/files/Dauporcopy.png?v=1756407815</t>
  </si>
  <si>
    <t xml:space="preserve">wall-daupor</t>
  </si>
  <si>
    <t xml:space="preserve">/products/wall-art/daupor.svg</t>
  </si>
  <si>
    <t xml:space="preserve">Deer</t>
  </si>
  <si>
    <t xml:space="preserve">deer</t>
  </si>
  <si>
    <t xml:space="preserve">gid://shopify/Product/7405789806691</t>
  </si>
  <si>
    <t xml:space="preserve">gid://shopify/ProductVariant/41966288175203</t>
  </si>
  <si>
    <t xml:space="preserve">https://cdn.shopify.com/s/files/1/0572/0077/1171/files/Deercopy.png?v=1756329895</t>
  </si>
  <si>
    <t xml:space="preserve">wall-deer</t>
  </si>
  <si>
    <t xml:space="preserve">/products/wall-art/deer.svg</t>
  </si>
  <si>
    <t xml:space="preserve">Flamingo</t>
  </si>
  <si>
    <t xml:space="preserve">flamingo</t>
  </si>
  <si>
    <t xml:space="preserve">gid://shopify/Product/7405790232675</t>
  </si>
  <si>
    <t xml:space="preserve">11x18 inches @ 2499.00 (0) | 15x24 inches @ 3499.00 (0)</t>
  </si>
  <si>
    <t xml:space="preserve">gid://shopify/ProductVariant/41867211472995</t>
  </si>
  <si>
    <t xml:space="preserve">https://cdn.shopify.com/s/files/1/0572/0077/1171/files/Front_7248ea9b-340c-466e-9750-2fc5e00fb674.png?v=1739983721</t>
  </si>
  <si>
    <t xml:space="preserve">wall-flamingo</t>
  </si>
  <si>
    <t xml:space="preserve">/products/wall-art/flamingo.svg</t>
  </si>
  <si>
    <t xml:space="preserve">Gandalf Staff</t>
  </si>
  <si>
    <t xml:space="preserve">gandalf-staff</t>
  </si>
  <si>
    <t xml:space="preserve">gid://shopify/Product/7405790462051</t>
  </si>
  <si>
    <t xml:space="preserve">2D Wall-Art | Movies | Comics/Superheroes/Movies- 2D</t>
  </si>
  <si>
    <t xml:space="preserve">12x15 inches @ 2999.00 (0) | 20x24 inches @ 3999.00 (0)</t>
  </si>
  <si>
    <t xml:space="preserve">gid://shopify/ProductVariant/41867212554339</t>
  </si>
  <si>
    <t xml:space="preserve">https://cdn.shopify.com/s/files/1/0572/0077/1171/files/Gandalf_Staff.png?v=1756406708</t>
  </si>
  <si>
    <t xml:space="preserve">wall-gandalf-staff</t>
  </si>
  <si>
    <t xml:space="preserve">/products/wall-art/gandalf-staff.svg</t>
  </si>
  <si>
    <t xml:space="preserve">Inner Tribal</t>
  </si>
  <si>
    <t xml:space="preserve">inner-tribal</t>
  </si>
  <si>
    <t xml:space="preserve">gid://shopify/Product/7405790986339</t>
  </si>
  <si>
    <t xml:space="preserve">2D Wall-Art | Cultural Arts | Cultural Arts- 2D</t>
  </si>
  <si>
    <t xml:space="preserve">12x16 inches @ 2499.00 (0) | 18x24 inches @ 5600.00 (0)</t>
  </si>
  <si>
    <t xml:space="preserve">gid://shopify/ProductVariant/41867214717027</t>
  </si>
  <si>
    <t xml:space="preserve">https://cdn.shopify.com/s/files/1/0572/0077/1171/files/Inner_Tribal.png?v=1756408844</t>
  </si>
  <si>
    <t xml:space="preserve">wall-inner-tribal</t>
  </si>
  <si>
    <t xml:space="preserve">/products/wall-art/inner-tribal.svg</t>
  </si>
  <si>
    <t xml:space="preserve">Joy Reside Deer</t>
  </si>
  <si>
    <t xml:space="preserve">joyreside-deer</t>
  </si>
  <si>
    <t xml:space="preserve">gid://shopify/Product/7405791215715</t>
  </si>
  <si>
    <t xml:space="preserve">gid://shopify/ProductVariant/41867215503459</t>
  </si>
  <si>
    <t xml:space="preserve">https://cdn.shopify.com/s/files/1/0572/0077/1171/files/JOYRESIDE-Deercopy.png?v=1756409650</t>
  </si>
  <si>
    <t xml:space="preserve">wall-joyreside-deer</t>
  </si>
  <si>
    <t xml:space="preserve">/products/wall-art/joyreside-deer.svg</t>
  </si>
  <si>
    <t xml:space="preserve">Juice WRLD</t>
  </si>
  <si>
    <t xml:space="preserve">juice-wrld</t>
  </si>
  <si>
    <t xml:space="preserve">gid://shopify/Product/7405791641699</t>
  </si>
  <si>
    <t xml:space="preserve">2D Wall-Art | Personalities</t>
  </si>
  <si>
    <t xml:space="preserve">gid://shopify/ProductVariant/41867217469539</t>
  </si>
  <si>
    <t xml:space="preserve">https://cdn.shopify.com/s/files/1/0572/0077/1171/files/Juice-WRLDcopy.png?v=1756409726</t>
  </si>
  <si>
    <t xml:space="preserve">wall-juice-wrld</t>
  </si>
  <si>
    <t xml:space="preserve">/products/wall-art/juice-wrld.svg</t>
  </si>
  <si>
    <t xml:space="preserve">Mountain Tree</t>
  </si>
  <si>
    <t xml:space="preserve">mountain-tree</t>
  </si>
  <si>
    <t xml:space="preserve">gid://shopify/Product/7405792362595</t>
  </si>
  <si>
    <t xml:space="preserve">2D Wall-Art | Modern Art</t>
  </si>
  <si>
    <t xml:space="preserve">12x12 inches @ 1999.00 (0) | 18x18 inches @ 2999.00 (0) | 24x24 inches @ 3999.00 (0)</t>
  </si>
  <si>
    <t xml:space="preserve">gid://shopify/ProductVariant/41867220549731</t>
  </si>
  <si>
    <t xml:space="preserve">https://cdn.shopify.com/s/files/1/0572/0077/1171/files/Mountain_Tree.png?v=1756412510</t>
  </si>
  <si>
    <t xml:space="preserve">wall-mountain-tree</t>
  </si>
  <si>
    <t xml:space="preserve">/products/wall-art/mountain-tree.svg</t>
  </si>
  <si>
    <t xml:space="preserve">Ninja Avatar</t>
  </si>
  <si>
    <t xml:space="preserve">ninja-avatar</t>
  </si>
  <si>
    <t xml:space="preserve">gid://shopify/Product/7405793673315</t>
  </si>
  <si>
    <t xml:space="preserve">2D Wall-Art | Anime/Manga | Anime/Manga- 2D</t>
  </si>
  <si>
    <t xml:space="preserve">gid://shopify/ProductVariant/41867224449123</t>
  </si>
  <si>
    <t xml:space="preserve">https://cdn.shopify.com/s/files/1/0572/0077/1171/files/Ninja_Avatar.png?v=1756413894</t>
  </si>
  <si>
    <t xml:space="preserve">wall-ninja-avatar</t>
  </si>
  <si>
    <t xml:space="preserve">/products/wall-art/ninja-avatar.svg</t>
  </si>
  <si>
    <t xml:space="preserve">Rabbits</t>
  </si>
  <si>
    <t xml:space="preserve">rabbits</t>
  </si>
  <si>
    <t xml:space="preserve">gid://shopify/Product/7405794951267</t>
  </si>
  <si>
    <t xml:space="preserve">gid://shopify/ProductVariant/41867226906723</t>
  </si>
  <si>
    <t xml:space="preserve">https://cdn.shopify.com/s/files/1/0572/0077/1171/files/Rabbits_114a94a1-4fe0-41e8-9755-019cff24e8fb.png?v=1756493901</t>
  </si>
  <si>
    <t xml:space="preserve">wall-rabbits</t>
  </si>
  <si>
    <t xml:space="preserve">/products/wall-art/rabbits.svg</t>
  </si>
  <si>
    <t xml:space="preserve">Shark</t>
  </si>
  <si>
    <t xml:space="preserve">shark</t>
  </si>
  <si>
    <t xml:space="preserve">gid://shopify/Product/7405795934307</t>
  </si>
  <si>
    <t xml:space="preserve">gid://shopify/ProductVariant/41867229167715</t>
  </si>
  <si>
    <t xml:space="preserve">https://cdn.shopify.com/s/files/1/0572/0077/1171/files/Shark.png?v=1756494909</t>
  </si>
  <si>
    <t xml:space="preserve">wall-shark</t>
  </si>
  <si>
    <t xml:space="preserve">/products/wall-art/shark.svg</t>
  </si>
  <si>
    <t xml:space="preserve">Wolf</t>
  </si>
  <si>
    <t xml:space="preserve">wolf</t>
  </si>
  <si>
    <t xml:space="preserve">gid://shopify/Product/7405796851811</t>
  </si>
  <si>
    <t xml:space="preserve">gid://shopify/ProductVariant/41867231035491</t>
  </si>
  <si>
    <t xml:space="preserve">https://cdn.shopify.com/s/files/1/0572/0077/1171/files/Wolf_ac91f706-1ed5-4f0c-8b39-83f0d4f4e598.png?v=1756497103</t>
  </si>
  <si>
    <t xml:space="preserve">wall-wolf</t>
  </si>
  <si>
    <t xml:space="preserve">/products/wall-art/wolf.svg</t>
  </si>
  <si>
    <t xml:space="preserve">Africans</t>
  </si>
  <si>
    <t xml:space="preserve">africans</t>
  </si>
  <si>
    <t xml:space="preserve">gid://shopify/Product/7407050260579</t>
  </si>
  <si>
    <t xml:space="preserve">2D Wall-Art | Minimalistic and Classical Art | Modern Art | Best Sellers | Cultural Arts | Cultural Arts- 2D</t>
  </si>
  <si>
    <t xml:space="preserve">16x18 inches @ 2999.00 (-1) | 22x24 inches @ 3999.00 (-1)</t>
  </si>
  <si>
    <t xml:space="preserve">gid://shopify/ProductVariant/41963285086307</t>
  </si>
  <si>
    <t xml:space="preserve">https://cdn.shopify.com/s/files/1/0572/0077/1171/files/Africans_72b57242-3762-4693-a7a4-282b707ed3b4.png?v=1756236391</t>
  </si>
  <si>
    <t xml:space="preserve">2024-05-02</t>
  </si>
  <si>
    <t xml:space="preserve">wall-africans</t>
  </si>
  <si>
    <t xml:space="preserve">/products/wall-art/africans.svg</t>
  </si>
  <si>
    <t xml:space="preserve">Ananas</t>
  </si>
  <si>
    <t xml:space="preserve">ananas</t>
  </si>
  <si>
    <t xml:space="preserve">gid://shopify/Product/7407050588259</t>
  </si>
  <si>
    <t xml:space="preserve">6x12 inches @ 1499.00 (0) | 9x18 inches @ 2499.00 (0) | 12x24 inches @ 2999.00 (0)</t>
  </si>
  <si>
    <t xml:space="preserve">gid://shopify/ProductVariant/41972372996195</t>
  </si>
  <si>
    <t xml:space="preserve">https://cdn.shopify.com/s/files/1/0572/0077/1171/files/Ananas_11ea854e-99d8-4469-8552-6fed74fab54c.png?v=1756236651</t>
  </si>
  <si>
    <t xml:space="preserve">wall-ananas</t>
  </si>
  <si>
    <t xml:space="preserve">/products/wall-art/ananas.svg</t>
  </si>
  <si>
    <t xml:space="preserve">Angel</t>
  </si>
  <si>
    <t xml:space="preserve">angel</t>
  </si>
  <si>
    <t xml:space="preserve">gid://shopify/Product/7407051079779</t>
  </si>
  <si>
    <t xml:space="preserve">19x24 inches @ 3499.00 (0)</t>
  </si>
  <si>
    <t xml:space="preserve">gid://shopify/ProductVariant/41963361992803</t>
  </si>
  <si>
    <t xml:space="preserve">https://cdn.shopify.com/s/files/1/0572/0077/1171/files/Angel_6042fa9a-fba1-4603-9460-9963df7a2eac.png?v=1756236740</t>
  </si>
  <si>
    <t xml:space="preserve">wall-angel</t>
  </si>
  <si>
    <t xml:space="preserve">/products/wall-art/angel.svg</t>
  </si>
  <si>
    <t xml:space="preserve">Aren't Pandas</t>
  </si>
  <si>
    <t xml:space="preserve">arent-pandas</t>
  </si>
  <si>
    <t xml:space="preserve">gid://shopify/Product/7407051735139</t>
  </si>
  <si>
    <t xml:space="preserve">gid://shopify/ProductVariant/41972400783459</t>
  </si>
  <si>
    <t xml:space="preserve">https://cdn.shopify.com/s/files/1/0572/0077/1171/files/Aren_t_Pandas.png?v=1756237116</t>
  </si>
  <si>
    <t xml:space="preserve">wall-aren-t-pandas</t>
  </si>
  <si>
    <t xml:space="preserve">/products/wall-art/aren-t-pandas.svg</t>
  </si>
  <si>
    <t xml:space="preserve">Aristotle</t>
  </si>
  <si>
    <t xml:space="preserve">aristoteles</t>
  </si>
  <si>
    <t xml:space="preserve">gid://shopify/Product/7407052292195</t>
  </si>
  <si>
    <t xml:space="preserve">2D Wall-Art | Minimalistic and Classical Art | Personalities</t>
  </si>
  <si>
    <t xml:space="preserve">gid://shopify/ProductVariant/41963475959907</t>
  </si>
  <si>
    <t xml:space="preserve">https://cdn.shopify.com/s/files/1/0572/0077/1171/files/Aristotle.png?v=1756237320</t>
  </si>
  <si>
    <t xml:space="preserve">wall-aristoteles</t>
  </si>
  <si>
    <t xml:space="preserve">/products/wall-art/aristoteles.svg</t>
  </si>
  <si>
    <t xml:space="preserve">Audrey Hepburn</t>
  </si>
  <si>
    <t xml:space="preserve">audrey-hepburn</t>
  </si>
  <si>
    <t xml:space="preserve">gid://shopify/Product/7407053209699</t>
  </si>
  <si>
    <t xml:space="preserve">2D Wall-Art | Personalities | Movies | Comics/Superheroes/Movies- 2D</t>
  </si>
  <si>
    <t xml:space="preserve">12x16 inches @ 2499.00 (-1) | 18x24 inches @ 5600.00 (0)</t>
  </si>
  <si>
    <t xml:space="preserve">gid://shopify/ProductVariant/41963548016739</t>
  </si>
  <si>
    <t xml:space="preserve">https://cdn.shopify.com/s/files/1/0572/0077/1171/files/Audrey_Hepburn.png?v=1756237746</t>
  </si>
  <si>
    <t xml:space="preserve">wall-audrey-hepburn</t>
  </si>
  <si>
    <t xml:space="preserve">/products/wall-art/audrey-hepburn.svg</t>
  </si>
  <si>
    <t xml:space="preserve">Bee</t>
  </si>
  <si>
    <t xml:space="preserve">bee</t>
  </si>
  <si>
    <t xml:space="preserve">gid://shopify/Product/7407053537379</t>
  </si>
  <si>
    <t xml:space="preserve">gid://shopify/ProductVariant/41963553718371</t>
  </si>
  <si>
    <t xml:space="preserve">https://cdn.shopify.com/s/files/1/0572/0077/1171/files/Bee_9fe0f694-3b71-43bd-95a8-07f828c642b9.png?v=1756238267</t>
  </si>
  <si>
    <t xml:space="preserve">wall-bee</t>
  </si>
  <si>
    <t xml:space="preserve">/products/wall-art/bee.svg</t>
  </si>
  <si>
    <t xml:space="preserve">Butterfly</t>
  </si>
  <si>
    <t xml:space="preserve">butterfly</t>
  </si>
  <si>
    <t xml:space="preserve">gid://shopify/Product/7407054553187</t>
  </si>
  <si>
    <t xml:space="preserve">2D Wall-Art | Animals | Maths and Nature</t>
  </si>
  <si>
    <t xml:space="preserve">gid://shopify/ProductVariant/41965797113955</t>
  </si>
  <si>
    <t xml:space="preserve">https://cdn.shopify.com/s/files/1/0572/0077/1171/files/butterflycopy_f17e6437-b955-4768-adcb-33653562ae0e.png?v=1756327059</t>
  </si>
  <si>
    <t xml:space="preserve">wall-butterfly</t>
  </si>
  <si>
    <t xml:space="preserve">/products/wall-art/butterfly.svg</t>
  </si>
  <si>
    <t xml:space="preserve">Cat Variant 2</t>
  </si>
  <si>
    <t xml:space="preserve">cat-2</t>
  </si>
  <si>
    <t xml:space="preserve">gid://shopify/Product/7407055536227</t>
  </si>
  <si>
    <t xml:space="preserve">gid://shopify/ProductVariant/41972507934819</t>
  </si>
  <si>
    <t xml:space="preserve">https://cdn.shopify.com/s/files/1/0572/0077/1171/files/Cat_Variant_2.png?v=1756327870</t>
  </si>
  <si>
    <t xml:space="preserve">wall-cat-2</t>
  </si>
  <si>
    <t xml:space="preserve">/products/wall-art/cat-2.svg</t>
  </si>
  <si>
    <t xml:space="preserve">Deer Variant 2</t>
  </si>
  <si>
    <t xml:space="preserve">deer-1</t>
  </si>
  <si>
    <t xml:space="preserve">gid://shopify/Product/7407071428707</t>
  </si>
  <si>
    <t xml:space="preserve">gid://shopify/ProductVariant/41966304493667</t>
  </si>
  <si>
    <t xml:space="preserve">https://cdn.shopify.com/s/files/1/0572/0077/1171/files/DeerVariant2.png?v=1756497932</t>
  </si>
  <si>
    <t xml:space="preserve">wall-deer-1</t>
  </si>
  <si>
    <t xml:space="preserve">/products/wall-art/deer-1.svg</t>
  </si>
  <si>
    <t xml:space="preserve">Deer Variant 3</t>
  </si>
  <si>
    <t xml:space="preserve">deer-2</t>
  </si>
  <si>
    <t xml:space="preserve">gid://shopify/Product/7407075524707</t>
  </si>
  <si>
    <t xml:space="preserve">11x12 inches @ 1999.00 (0) | 17x18 inches @ 2999.00 (0) | 22x24 inches @ 3999.00 (0)</t>
  </si>
  <si>
    <t xml:space="preserve">gid://shopify/ProductVariant/41872908288099</t>
  </si>
  <si>
    <t xml:space="preserve">https://cdn.shopify.com/s/files/1/0572/0077/1171/files/deer-1copy.png?v=1756330113</t>
  </si>
  <si>
    <t xml:space="preserve">Deer in forest</t>
  </si>
  <si>
    <t xml:space="preserve">deer-in-forest</t>
  </si>
  <si>
    <t xml:space="preserve">gid://shopify/Product/7407076540515</t>
  </si>
  <si>
    <t xml:space="preserve">9x18 inches @ 2499.00 (0) | 12x24 inches @ 2999.00 (0)</t>
  </si>
  <si>
    <t xml:space="preserve">gid://shopify/ProductVariant/41971255836771</t>
  </si>
  <si>
    <t xml:space="preserve">https://cdn.shopify.com/s/files/1/0572/0077/1171/files/deer-in-forestcopy.png?v=1756330013</t>
  </si>
  <si>
    <t xml:space="preserve">wall-deer-in-forest</t>
  </si>
  <si>
    <t xml:space="preserve">/products/wall-art/deer-in-forest.svg</t>
  </si>
  <si>
    <t xml:space="preserve">Natural Elements</t>
  </si>
  <si>
    <t xml:space="preserve">dekoratifctablo</t>
  </si>
  <si>
    <t xml:space="preserve">gid://shopify/Product/7407077982307</t>
  </si>
  <si>
    <t xml:space="preserve">12x12 inches @ 1999.00 (-1) | 18x18 inches @ 2999.00 (0) | 24x24 inches @ 3999.00 (0)</t>
  </si>
  <si>
    <t xml:space="preserve">gid://shopify/ProductVariant/41872930668643</t>
  </si>
  <si>
    <t xml:space="preserve">https://cdn.shopify.com/s/files/1/0572/0077/1171/files/NaturalElements.png?v=1756498129</t>
  </si>
  <si>
    <t xml:space="preserve">wall-dekoratif-tablo</t>
  </si>
  <si>
    <t xml:space="preserve">/products/wall-art/dekoratif-tablo.svg</t>
  </si>
  <si>
    <t xml:space="preserve">alias</t>
  </si>
  <si>
    <t xml:space="preserve">Diana</t>
  </si>
  <si>
    <t xml:space="preserve">dekoru-baupor</t>
  </si>
  <si>
    <t xml:space="preserve">gid://shopify/Product/7407079129187</t>
  </si>
  <si>
    <t xml:space="preserve">2D Wall-Art | Anime/Manga | Comics and Superheroes | Movies | Comics/Superheroes/Movies- 2D</t>
  </si>
  <si>
    <t xml:space="preserve">gid://shopify/ProductVariant/41872942334051</t>
  </si>
  <si>
    <t xml:space="preserve">https://cdn.shopify.com/s/files/1/0572/0077/1171/files/Dekoru-Bauporcopy.png?v=1756330368</t>
  </si>
  <si>
    <t xml:space="preserve">Eagle</t>
  </si>
  <si>
    <t xml:space="preserve">eagle</t>
  </si>
  <si>
    <t xml:space="preserve">gid://shopify/Product/7407081291875</t>
  </si>
  <si>
    <t xml:space="preserve">10x18 inches @ 2499.00 (0) | 14x24 inches @ 2999.00 (0)</t>
  </si>
  <si>
    <t xml:space="preserve">gid://shopify/ProductVariant/41872950722659</t>
  </si>
  <si>
    <t xml:space="preserve">https://cdn.shopify.com/s/files/1/0572/0077/1171/files/Eagle_c4d78179-54da-4486-9981-56a5be7a16be.png?v=1756385557</t>
  </si>
  <si>
    <t xml:space="preserve">wall-eagle</t>
  </si>
  <si>
    <t xml:space="preserve">/products/wall-art/eagle.svg</t>
  </si>
  <si>
    <t xml:space="preserve">Eagle Variant 2</t>
  </si>
  <si>
    <t xml:space="preserve">eagle-1</t>
  </si>
  <si>
    <t xml:space="preserve">gid://shopify/Product/7407084896355</t>
  </si>
  <si>
    <t xml:space="preserve">gid://shopify/ProductVariant/41872964157539</t>
  </si>
  <si>
    <t xml:space="preserve">https://cdn.shopify.com/s/files/1/0572/0077/1171/files/Eagle_Variant_2.png?v=1756385884</t>
  </si>
  <si>
    <t xml:space="preserve">wall-eagle-1</t>
  </si>
  <si>
    <t xml:space="preserve">/products/wall-art/eagle-1.svg</t>
  </si>
  <si>
    <t xml:space="preserve">Elephant</t>
  </si>
  <si>
    <t xml:space="preserve">elephant</t>
  </si>
  <si>
    <t xml:space="preserve">gid://shopify/Product/7407086469219</t>
  </si>
  <si>
    <t xml:space="preserve">20x24 inches @ 3999.00 (0)</t>
  </si>
  <si>
    <t xml:space="preserve">gid://shopify/ProductVariant/41972689666147</t>
  </si>
  <si>
    <t xml:space="preserve">https://cdn.shopify.com/s/files/1/0572/0077/1171/files/Elephantcopy.png?v=1756388531</t>
  </si>
  <si>
    <t xml:space="preserve">wall-elephant</t>
  </si>
  <si>
    <t xml:space="preserve">/products/wall-art/elephant.svg</t>
  </si>
  <si>
    <t xml:space="preserve">Ethnic Ornaments</t>
  </si>
  <si>
    <t xml:space="preserve">ethnic-ornaments</t>
  </si>
  <si>
    <t xml:space="preserve">gid://shopify/Product/7407107670115</t>
  </si>
  <si>
    <t xml:space="preserve">3 Panels: 6x18 inches each panel @ 6999.00 (0) | 3 Panels: 9x27 inches each panel @ 8999.00 (0)</t>
  </si>
  <si>
    <t xml:space="preserve">gid://shopify/ProductVariant/41873179246691</t>
  </si>
  <si>
    <t xml:space="preserve">https://cdn.shopify.com/s/files/1/0572/0077/1171/files/EthnicOrnaments.png?v=1756497971</t>
  </si>
  <si>
    <t xml:space="preserve">wall-ethnic-ornaments</t>
  </si>
  <si>
    <t xml:space="preserve">/products/wall-art/ethnic-ornaments.svg</t>
  </si>
  <si>
    <t xml:space="preserve">Forest Wolf</t>
  </si>
  <si>
    <t xml:space="preserve">forest-wolf</t>
  </si>
  <si>
    <t xml:space="preserve">gid://shopify/Product/7407108358243</t>
  </si>
  <si>
    <t xml:space="preserve">gid://shopify/ProductVariant/41873185177699</t>
  </si>
  <si>
    <t xml:space="preserve">https://cdn.shopify.com/s/files/1/0572/0077/1171/files/Forest_Wolf.png?v=1756406290</t>
  </si>
  <si>
    <t xml:space="preserve">wall-forrest-wolf</t>
  </si>
  <si>
    <t xml:space="preserve">/products/wall-art/forrest-wolf.svg</t>
  </si>
  <si>
    <t xml:space="preserve">Fox</t>
  </si>
  <si>
    <t xml:space="preserve">fox</t>
  </si>
  <si>
    <t xml:space="preserve">gid://shopify/Product/7407109898339</t>
  </si>
  <si>
    <t xml:space="preserve">gid://shopify/ProductVariant/41873210933347</t>
  </si>
  <si>
    <t xml:space="preserve">https://cdn.shopify.com/s/files/1/0572/0077/1171/files/Fox_4e67e92b-33cc-4d81-9caf-7aa178af6900.png?v=1756406439</t>
  </si>
  <si>
    <t xml:space="preserve">wall-fox</t>
  </si>
  <si>
    <t xml:space="preserve">/products/wall-art/fox.svg</t>
  </si>
  <si>
    <t xml:space="preserve">Geometric Horse</t>
  </si>
  <si>
    <t xml:space="preserve">geometric-horse</t>
  </si>
  <si>
    <t xml:space="preserve">gid://shopify/Product/7407111176291</t>
  </si>
  <si>
    <t xml:space="preserve">gid://shopify/ProductVariant/41873220141155</t>
  </si>
  <si>
    <t xml:space="preserve">https://cdn.shopify.com/s/files/1/0572/0077/1171/files/Geometric_Horse.png?v=1756406864</t>
  </si>
  <si>
    <t xml:space="preserve">wall-geometric-horse</t>
  </si>
  <si>
    <t xml:space="preserve">/products/wall-art/geometric-horse.svg</t>
  </si>
  <si>
    <t xml:space="preserve">Globe</t>
  </si>
  <si>
    <t xml:space="preserve">globe</t>
  </si>
  <si>
    <t xml:space="preserve">gid://shopify/Product/7407112454243</t>
  </si>
  <si>
    <t xml:space="preserve">18x18 inches @ 2999.00 (0) | 24x24 inches @ 3999.00 (0)</t>
  </si>
  <si>
    <t xml:space="preserve">gid://shopify/ProductVariant/41972861796451</t>
  </si>
  <si>
    <t xml:space="preserve">https://cdn.shopify.com/s/files/1/0572/0077/1171/files/Globecopy.png?v=1756407370</t>
  </si>
  <si>
    <t xml:space="preserve">wall-globe</t>
  </si>
  <si>
    <t xml:space="preserve">/products/wall-art/globe.svg</t>
  </si>
  <si>
    <t xml:space="preserve">Indigenous</t>
  </si>
  <si>
    <t xml:space="preserve">indigenous-v-3</t>
  </si>
  <si>
    <t xml:space="preserve">gid://shopify/Product/7407113470051</t>
  </si>
  <si>
    <t xml:space="preserve">2D Wall-Art | Cultural Arts- 2D</t>
  </si>
  <si>
    <t xml:space="preserve">18x24 inches @ 5600.00 (0)</t>
  </si>
  <si>
    <t xml:space="preserve">gid://shopify/ProductVariant/41972902821987</t>
  </si>
  <si>
    <t xml:space="preserve">https://cdn.shopify.com/s/files/1/0572/0077/1171/files/Indigenous.png?v=1756408487</t>
  </si>
  <si>
    <t xml:space="preserve">wall-indigenous-v-3</t>
  </si>
  <si>
    <t xml:space="preserve">/products/wall-art/indigenous-v-3.svg</t>
  </si>
  <si>
    <t xml:space="preserve">Joker</t>
  </si>
  <si>
    <t xml:space="preserve">jocker</t>
  </si>
  <si>
    <t xml:space="preserve">gid://shopify/Product/7407114453091</t>
  </si>
  <si>
    <t xml:space="preserve">2D Wall-Art | Comics and Superheroes | Movies | Comics/Superheroes/Movies- 2D</t>
  </si>
  <si>
    <t xml:space="preserve">12x18 inches @ 5000.00 (0) | 16x24 inches @ 5600.00 (-1)</t>
  </si>
  <si>
    <t xml:space="preserve">gid://shopify/ProductVariant/41873250189411</t>
  </si>
  <si>
    <t xml:space="preserve">https://cdn.shopify.com/s/files/1/0572/0077/1171/files/Joker.png?v=1756409436</t>
  </si>
  <si>
    <t xml:space="preserve">wall-jocker</t>
  </si>
  <si>
    <t xml:space="preserve">/products/wall-art/jocker.svg</t>
  </si>
  <si>
    <t xml:space="preserve">Lightning Bolt</t>
  </si>
  <si>
    <t xml:space="preserve">lightning-bolt</t>
  </si>
  <si>
    <t xml:space="preserve">gid://shopify/Product/7407115763811</t>
  </si>
  <si>
    <t xml:space="preserve">gid://shopify/ProductVariant/41873261133923</t>
  </si>
  <si>
    <t xml:space="preserve">https://cdn.shopify.com/s/files/1/0572/0077/1171/files/Lightning_Bolt.png?v=1756410838</t>
  </si>
  <si>
    <t xml:space="preserve">wall-lightning-bolt</t>
  </si>
  <si>
    <t xml:space="preserve">/products/wall-art/lightning-bolt.svg</t>
  </si>
  <si>
    <t xml:space="preserve">Michelangelo's David</t>
  </si>
  <si>
    <t xml:space="preserve">michelangelos-david</t>
  </si>
  <si>
    <t xml:space="preserve">gid://shopify/Product/7407116353635</t>
  </si>
  <si>
    <t xml:space="preserve">2D Wall-Art | Minimalistic and Classical Art</t>
  </si>
  <si>
    <t xml:space="preserve">16x24 inches @ 5600.00 (0)</t>
  </si>
  <si>
    <t xml:space="preserve">gid://shopify/ProductVariant/41973099331683</t>
  </si>
  <si>
    <t xml:space="preserve">https://cdn.shopify.com/s/files/1/0572/0077/1171/files/Michelangelo_s_David.png?v=1756412099</t>
  </si>
  <si>
    <t xml:space="preserve">wall-michelangelo-s-david</t>
  </si>
  <si>
    <t xml:space="preserve">/products/wall-art/michelangelo-s-david.svg</t>
  </si>
  <si>
    <t xml:space="preserve">Seahorse</t>
  </si>
  <si>
    <t xml:space="preserve">seahorse</t>
  </si>
  <si>
    <t xml:space="preserve">gid://shopify/Product/7407117008995</t>
  </si>
  <si>
    <t xml:space="preserve">gid://shopify/ProductVariant/41873270603875</t>
  </si>
  <si>
    <t xml:space="preserve">https://cdn.shopify.com/s/files/1/0572/0077/1171/files/Seahorse_d83a7a2c-65e7-4252-86ce-5b2cf2dc78e0.png?v=1756494716</t>
  </si>
  <si>
    <t xml:space="preserve">wall-seahorses</t>
  </si>
  <si>
    <t xml:space="preserve">/products/wall-art/seahorses.svg</t>
  </si>
  <si>
    <t xml:space="preserve">Siamese Twin</t>
  </si>
  <si>
    <t xml:space="preserve">siamese-twin</t>
  </si>
  <si>
    <t xml:space="preserve">gid://shopify/Product/7407117992035</t>
  </si>
  <si>
    <t xml:space="preserve">gid://shopify/ProductVariant/41873275584611</t>
  </si>
  <si>
    <t xml:space="preserve">https://cdn.shopify.com/s/files/1/0572/0077/1171/files/Siamese_Twin.png?v=1756495040</t>
  </si>
  <si>
    <t xml:space="preserve">wall-siamese-twin</t>
  </si>
  <si>
    <t xml:space="preserve">/products/wall-art/siamese-twin.svg</t>
  </si>
  <si>
    <t xml:space="preserve">Stormtrooper</t>
  </si>
  <si>
    <t xml:space="preserve">stormtrooper</t>
  </si>
  <si>
    <t xml:space="preserve">gid://shopify/Product/7407118483555</t>
  </si>
  <si>
    <t xml:space="preserve">gid://shopify/ProductVariant/41873279090787</t>
  </si>
  <si>
    <t xml:space="preserve">https://cdn.shopify.com/s/files/1/0572/0077/1171/files/Stormtrooper_4c619287-523f-4b34-8064-327316409276.png?v=1756495824</t>
  </si>
  <si>
    <t xml:space="preserve">wall-stormtrooper</t>
  </si>
  <si>
    <t xml:space="preserve">/products/wall-art/stormtrooper.svg</t>
  </si>
  <si>
    <t xml:space="preserve">Tiger</t>
  </si>
  <si>
    <t xml:space="preserve">tiger</t>
  </si>
  <si>
    <t xml:space="preserve">gid://shopify/Product/7407118745699</t>
  </si>
  <si>
    <t xml:space="preserve">15x18 inches @ 2999.00 (0) | 20x24 inches @ 3999.00 (0)</t>
  </si>
  <si>
    <t xml:space="preserve">gid://shopify/ProductVariant/41873280729187</t>
  </si>
  <si>
    <t xml:space="preserve">https://cdn.shopify.com/s/files/1/0572/0077/1171/files/Tiger_7ded93a4-8319-49e2-8234-37b951d9dbcf.png?v=1756496227</t>
  </si>
  <si>
    <t xml:space="preserve">wall-tiger</t>
  </si>
  <si>
    <t xml:space="preserve">/products/wall-art/tiger.svg</t>
  </si>
  <si>
    <t xml:space="preserve">Wolf Variant 2</t>
  </si>
  <si>
    <t xml:space="preserve">wolf-1</t>
  </si>
  <si>
    <t xml:space="preserve">gid://shopify/Product/7407122841699</t>
  </si>
  <si>
    <t xml:space="preserve">gid://shopify/ProductVariant/41873320280163</t>
  </si>
  <si>
    <t xml:space="preserve">https://cdn.shopify.com/s/files/1/0572/0077/1171/files/Wolf_Variant_2.png?v=1756497195</t>
  </si>
  <si>
    <t xml:space="preserve">wall-wolf-1</t>
  </si>
  <si>
    <t xml:space="preserve">/products/wall-art/wolf-1.svg</t>
  </si>
  <si>
    <t xml:space="preserve">Boat</t>
  </si>
  <si>
    <t xml:space="preserve">boat</t>
  </si>
  <si>
    <t xml:space="preserve">gid://shopify/Product/7407282225251</t>
  </si>
  <si>
    <t xml:space="preserve">gid://shopify/ProductVariant/41965493485667</t>
  </si>
  <si>
    <t xml:space="preserve">https://cdn.shopify.com/s/files/1/0572/0077/1171/files/Boat_7a9a7bf4-24cf-41f3-b633-3fd07bd8c27f.png?v=1756315970</t>
  </si>
  <si>
    <t xml:space="preserve">wall-boat</t>
  </si>
  <si>
    <t xml:space="preserve">/products/wall-art/boat.svg</t>
  </si>
  <si>
    <t xml:space="preserve">Butterfly- 3 Panels</t>
  </si>
  <si>
    <t xml:space="preserve">butterfly-1</t>
  </si>
  <si>
    <t xml:space="preserve">gid://shopify/Product/7407282946147</t>
  </si>
  <si>
    <t xml:space="preserve">3 Panels: 6x12 each panel @ 4999.00 (0) | 3 Panels: 9x18 each panel @ 5499.00 (0) | 3 Panels: 12x24 each panel @ 7999.00 (0)</t>
  </si>
  <si>
    <t xml:space="preserve">gid://shopify/ProductVariant/41966002208867</t>
  </si>
  <si>
    <t xml:space="preserve">https://cdn.shopify.com/s/files/1/0572/0077/1171/files/butterflycopy_f3107136-3a36-4297-a9af-cabefd8410a5.png?v=1756327174</t>
  </si>
  <si>
    <t xml:space="preserve">wall-butterfly-1</t>
  </si>
  <si>
    <t xml:space="preserve">/products/wall-art/butterfly-1.svg</t>
  </si>
  <si>
    <t xml:space="preserve">Deer Variant 4</t>
  </si>
  <si>
    <t xml:space="preserve">deer-3</t>
  </si>
  <si>
    <t xml:space="preserve">gid://shopify/Product/7407283404899</t>
  </si>
  <si>
    <t xml:space="preserve">gid://shopify/ProductVariant/41874254037091</t>
  </si>
  <si>
    <t xml:space="preserve">https://cdn.shopify.com/s/files/1/0572/0077/1171/files/deer-1copy_a48b7d3d-6493-4fdb-9b24-bf70b341fe26.png?v=1756330208</t>
  </si>
  <si>
    <t xml:space="preserve">wall-deer-3</t>
  </si>
  <si>
    <t xml:space="preserve">/products/wall-art/deer-3.svg</t>
  </si>
  <si>
    <t xml:space="preserve">Deer Variant 5</t>
  </si>
  <si>
    <t xml:space="preserve">deer-4</t>
  </si>
  <si>
    <t xml:space="preserve">gid://shopify/Product/7407283798115</t>
  </si>
  <si>
    <t xml:space="preserve">gid://shopify/ProductVariant/41985180532835</t>
  </si>
  <si>
    <t xml:space="preserve">https://cdn.shopify.com/s/files/1/0572/0077/1171/files/deer-2copy.png?v=1756330247</t>
  </si>
  <si>
    <t xml:space="preserve">wall-deer-4</t>
  </si>
  <si>
    <t xml:space="preserve">/products/wall-art/deer-4.svg</t>
  </si>
  <si>
    <t xml:space="preserve">Fox Variant 2</t>
  </si>
  <si>
    <t xml:space="preserve">fox-1</t>
  </si>
  <si>
    <t xml:space="preserve">gid://shopify/Product/7407284125795</t>
  </si>
  <si>
    <t xml:space="preserve">gid://shopify/ProductVariant/41874255609955</t>
  </si>
  <si>
    <t xml:space="preserve">https://cdn.shopify.com/s/files/1/0572/0077/1171/files/Fox_Variant_2.png?v=1756406541</t>
  </si>
  <si>
    <t xml:space="preserve">wall-fox-1</t>
  </si>
  <si>
    <t xml:space="preserve">/products/wall-art/fox-1.svg</t>
  </si>
  <si>
    <t xml:space="preserve">Hedera</t>
  </si>
  <si>
    <t xml:space="preserve">hedera</t>
  </si>
  <si>
    <t xml:space="preserve">gid://shopify/Product/7407284715619</t>
  </si>
  <si>
    <t xml:space="preserve">2D Wall-Art | Maths and Nature</t>
  </si>
  <si>
    <t xml:space="preserve">3 Panels: 6x12 inches each panel @ 4999.00 (0) | 3 Panels: 12x24 inches each panel @ 5499.00 (0)</t>
  </si>
  <si>
    <t xml:space="preserve">gid://shopify/ProductVariant/41874256887907</t>
  </si>
  <si>
    <t xml:space="preserve">https://cdn.shopify.com/s/files/1/0572/0077/1171/files/Hedera_e6c03393-7584-4291-9c8a-e64c942bad6b.png?v=1756498009</t>
  </si>
  <si>
    <t xml:space="preserve">Horse</t>
  </si>
  <si>
    <t xml:space="preserve">horse</t>
  </si>
  <si>
    <t xml:space="preserve">gid://shopify/Product/7407286124643</t>
  </si>
  <si>
    <t xml:space="preserve">gid://shopify/ProductVariant/41874259968099</t>
  </si>
  <si>
    <t xml:space="preserve">https://cdn.shopify.com/s/files/1/0572/0077/1171/files/Horse_b9498c62-83aa-40f4-8126-6497b5bbfd8c.png?v=1756408343</t>
  </si>
  <si>
    <t xml:space="preserve">wall-horse</t>
  </si>
  <si>
    <t xml:space="preserve">/products/wall-art/horse.svg</t>
  </si>
  <si>
    <t xml:space="preserve">Horse Variant 2</t>
  </si>
  <si>
    <t xml:space="preserve">horse-2</t>
  </si>
  <si>
    <t xml:space="preserve">gid://shopify/Product/7407286878307</t>
  </si>
  <si>
    <t xml:space="preserve">gid://shopify/ProductVariant/41874261442659</t>
  </si>
  <si>
    <t xml:space="preserve">https://cdn.shopify.com/s/files/1/0572/0077/1171/files/Horse_Variant_2.png?v=1756408414</t>
  </si>
  <si>
    <t xml:space="preserve">wall-horse-2</t>
  </si>
  <si>
    <t xml:space="preserve">/products/wall-art/horse-2.svg</t>
  </si>
  <si>
    <t xml:space="preserve">Markhor with Snake</t>
  </si>
  <si>
    <t xml:space="preserve">markhor-with-snake</t>
  </si>
  <si>
    <t xml:space="preserve">gid://shopify/Product/7407287533667</t>
  </si>
  <si>
    <t xml:space="preserve">gid://shopify/ProductVariant/41874263244899</t>
  </si>
  <si>
    <t xml:space="preserve">https://cdn.shopify.com/s/files/1/0572/0077/1171/files/Markhor_with_Snake.png?v=1756411921</t>
  </si>
  <si>
    <t xml:space="preserve">wall-markhor-with-snake</t>
  </si>
  <si>
    <t xml:space="preserve">/products/wall-art/markhor-with-snake.svg</t>
  </si>
  <si>
    <t xml:space="preserve">Silva</t>
  </si>
  <si>
    <t xml:space="preserve">silva</t>
  </si>
  <si>
    <t xml:space="preserve">gid://shopify/Product/7407287828579</t>
  </si>
  <si>
    <t xml:space="preserve">2D Wall-Art | Maths and Nature | Minimalistic and Classical Art | Modern Art</t>
  </si>
  <si>
    <t xml:space="preserve">4 Panels: 9x18 inches each panel @ 8999.00 (-1) | 4 Panels: 12x24 inches each panel @ 11999.00 (0)</t>
  </si>
  <si>
    <t xml:space="preserve">gid://shopify/ProductVariant/41874263834723</t>
  </si>
  <si>
    <t xml:space="preserve">https://cdn.shopify.com/s/files/1/0572/0077/1171/files/Silvacopy_81e95162-6eb7-4e04-97f8-994bd1be180e.png?v=1756495133</t>
  </si>
  <si>
    <t xml:space="preserve">wall-silva-4</t>
  </si>
  <si>
    <t xml:space="preserve">/products/wall-art/silva-4.svg</t>
  </si>
  <si>
    <t xml:space="preserve">Trio Bike</t>
  </si>
  <si>
    <t xml:space="preserve">trio-bike</t>
  </si>
  <si>
    <t xml:space="preserve">gid://shopify/Product/7407309488227</t>
  </si>
  <si>
    <t xml:space="preserve">1 Panel: 12x18 inches 2 Panels: 9x12 inches @ 5000.00 (0) | 1 Panel 16x24 inches 2 Panels: 12x16 inches @ 5600.00 (0)</t>
  </si>
  <si>
    <t xml:space="preserve">gid://shopify/ProductVariant/41874361024611</t>
  </si>
  <si>
    <t xml:space="preserve">https://cdn.shopify.com/s/files/1/0572/0077/1171/files/Trio_Bike.png?v=1756496577</t>
  </si>
  <si>
    <t xml:space="preserve">wall-trio-bike</t>
  </si>
  <si>
    <t xml:space="preserve">/products/wall-art/trio-bike.svg</t>
  </si>
  <si>
    <t xml:space="preserve">Tribal Moon</t>
  </si>
  <si>
    <t xml:space="preserve">tribal-moon</t>
  </si>
  <si>
    <t xml:space="preserve">gid://shopify/Product/7407309652067</t>
  </si>
  <si>
    <t xml:space="preserve">8x12 inches each panel @ 4200.00 (0) | 12x18 inches each panel @ 5000.00 (0) | 16x24 inches each panel @ 5600.00 (0)</t>
  </si>
  <si>
    <t xml:space="preserve">gid://shopify/ProductVariant/41874361647203</t>
  </si>
  <si>
    <t xml:space="preserve">https://cdn.shopify.com/s/files/1/0572/0077/1171/files/Tribal-Mooncopy.png?v=1756496507</t>
  </si>
  <si>
    <t xml:space="preserve">wall-tribal-moon</t>
  </si>
  <si>
    <t xml:space="preserve">/products/wall-art/tribal-moon.svg</t>
  </si>
  <si>
    <t xml:space="preserve">Tree Of Life</t>
  </si>
  <si>
    <t xml:space="preserve">tree-of-life</t>
  </si>
  <si>
    <t xml:space="preserve">gid://shopify/Product/7407309914211</t>
  </si>
  <si>
    <t xml:space="preserve">gid://shopify/ProductVariant/41874365579363</t>
  </si>
  <si>
    <t xml:space="preserve">https://cdn.shopify.com/s/files/1/0572/0077/1171/files/Tree_Of_Life.png?v=1756496433</t>
  </si>
  <si>
    <t xml:space="preserve">wall-tree-of-life</t>
  </si>
  <si>
    <t xml:space="preserve">/products/wall-art/tree-of-life.svg</t>
  </si>
  <si>
    <t xml:space="preserve">Spider</t>
  </si>
  <si>
    <t xml:space="preserve">spider</t>
  </si>
  <si>
    <t xml:space="preserve">gid://shopify/Product/7407310012515</t>
  </si>
  <si>
    <t xml:space="preserve">gid://shopify/ProductVariant/41874365907043</t>
  </si>
  <si>
    <t xml:space="preserve">https://cdn.shopify.com/s/files/1/0572/0077/1171/files/Spider_097bea6d-5be2-49e2-86cf-2d87a4373200.png?v=1756495474</t>
  </si>
  <si>
    <t xml:space="preserve">wall-spider</t>
  </si>
  <si>
    <t xml:space="preserve">/products/wall-art/spider.svg</t>
  </si>
  <si>
    <t xml:space="preserve">Pulp Fiction</t>
  </si>
  <si>
    <t xml:space="preserve">pulp-fiction-v-1</t>
  </si>
  <si>
    <t xml:space="preserve">gid://shopify/Product/7407310504035</t>
  </si>
  <si>
    <t xml:space="preserve">12x12 inches each panel @ 5999.00 (0) | 18x18 inches each panel @ 8999.00 (0) | 24x24 inches each panel @ 11999.00 (0)</t>
  </si>
  <si>
    <t xml:space="preserve">gid://shopify/ProductVariant/41874368036963</t>
  </si>
  <si>
    <t xml:space="preserve">https://cdn.shopify.com/s/files/1/0572/0077/1171/files/Pulp_Fiction.png?v=1756493740</t>
  </si>
  <si>
    <t xml:space="preserve">wall-pulp-fiction-v-1</t>
  </si>
  <si>
    <t xml:space="preserve">/products/wall-art/pulp-fiction-v-1.svg</t>
  </si>
  <si>
    <t xml:space="preserve">Owl</t>
  </si>
  <si>
    <t xml:space="preserve">owl</t>
  </si>
  <si>
    <t xml:space="preserve">gid://shopify/Product/7407310635107</t>
  </si>
  <si>
    <t xml:space="preserve">gid://shopify/ProductVariant/41874371543139</t>
  </si>
  <si>
    <t xml:space="preserve">https://cdn.shopify.com/s/files/1/0572/0077/1171/files/Owl_2e39a7bb-fbc2-47b8-81c2-cfadb074f6a4.png?v=1756493369</t>
  </si>
  <si>
    <t xml:space="preserve">wall-owl</t>
  </si>
  <si>
    <t xml:space="preserve">/products/wall-art/owl.svg</t>
  </si>
  <si>
    <t xml:space="preserve">Mode</t>
  </si>
  <si>
    <t xml:space="preserve">mode</t>
  </si>
  <si>
    <t xml:space="preserve">gid://shopify/Product/7407311159395</t>
  </si>
  <si>
    <t xml:space="preserve">12x12 inches @ 1999.00 (0) | 18x18 inches @ 2999.00 (-1) | 24x24 inches @ 3999.00 (0)</t>
  </si>
  <si>
    <t xml:space="preserve">gid://shopify/ProductVariant/41874373116003</t>
  </si>
  <si>
    <t xml:space="preserve">https://cdn.shopify.com/s/files/1/0572/0077/1171/files/Mode.png?v=1756412184</t>
  </si>
  <si>
    <t xml:space="preserve">wall-mode</t>
  </si>
  <si>
    <t xml:space="preserve">/products/wall-art/mode.svg</t>
  </si>
  <si>
    <t xml:space="preserve">Mangrove Tree</t>
  </si>
  <si>
    <t xml:space="preserve">mangrove-tree</t>
  </si>
  <si>
    <t xml:space="preserve">gid://shopify/Product/7407311421539</t>
  </si>
  <si>
    <t xml:space="preserve">gid://shopify/ProductVariant/41973082783843</t>
  </si>
  <si>
    <t xml:space="preserve">https://cdn.shopify.com/s/files/1/0572/0077/1171/files/Mangrove-Treecopy.png?v=1756411755</t>
  </si>
  <si>
    <t xml:space="preserve">wall-mangrove-tree</t>
  </si>
  <si>
    <t xml:space="preserve">/products/wall-art/mangrove-tree.svg</t>
  </si>
  <si>
    <t xml:space="preserve">Lion</t>
  </si>
  <si>
    <t xml:space="preserve">lion</t>
  </si>
  <si>
    <t xml:space="preserve">gid://shopify/Product/7407311814755</t>
  </si>
  <si>
    <t xml:space="preserve">12x18 inches @ 5000.00 (0) | 18x24 inches @ 5600.00 (0)</t>
  </si>
  <si>
    <t xml:space="preserve">gid://shopify/ProductVariant/41874375442531</t>
  </si>
  <si>
    <t xml:space="preserve">https://cdn.shopify.com/s/files/1/0572/0077/1171/files/Lion_1be7a993-4ff1-43cf-8101-b488e86068c4.png?v=1756411123</t>
  </si>
  <si>
    <t xml:space="preserve">wall-lion</t>
  </si>
  <si>
    <t xml:space="preserve">/products/wall-art/lion.svg</t>
  </si>
  <si>
    <t xml:space="preserve">Lily</t>
  </si>
  <si>
    <t xml:space="preserve">lily</t>
  </si>
  <si>
    <t xml:space="preserve">gid://shopify/Product/7407311945827</t>
  </si>
  <si>
    <t xml:space="preserve">12x12 inches total @ 1999.00 (0) | 18x18 inches total @ 2999.00 (0) | 24x24 inches total @ 3999.00 (0)</t>
  </si>
  <si>
    <t xml:space="preserve">gid://shopify/ProductVariant/41874375835747</t>
  </si>
  <si>
    <t xml:space="preserve">https://cdn.shopify.com/s/files/1/0572/0077/1171/files/Lilycopy.png?v=1756410980</t>
  </si>
  <si>
    <t xml:space="preserve">wall-lily</t>
  </si>
  <si>
    <t xml:space="preserve">/products/wall-art/lily.svg</t>
  </si>
  <si>
    <t xml:space="preserve">Leaf Set V2</t>
  </si>
  <si>
    <t xml:space="preserve">leaf-set-v2</t>
  </si>
  <si>
    <t xml:space="preserve">gid://shopify/Product/7407311978595</t>
  </si>
  <si>
    <t xml:space="preserve">Panel 1: 6x16 inches Panel 2: 9x24 inches Panel 3: 12x32 inches @ 7999.00 (0)</t>
  </si>
  <si>
    <t xml:space="preserve">gid://shopify/ProductVariant/41874375901283</t>
  </si>
  <si>
    <t xml:space="preserve">https://cdn.shopify.com/s/files/1/0572/0077/1171/files/Leaf_Set_V2.png?v=1756410092</t>
  </si>
  <si>
    <t xml:space="preserve">2024-05-15</t>
  </si>
  <si>
    <t xml:space="preserve">wall-leaf-set-v2</t>
  </si>
  <si>
    <t xml:space="preserve">/products/wall-art/leaf-set-v2.svg</t>
  </si>
  <si>
    <t xml:space="preserve">Leaf Set V1</t>
  </si>
  <si>
    <t xml:space="preserve">leaf-set-v1</t>
  </si>
  <si>
    <t xml:space="preserve">gid://shopify/Product/7407312306275</t>
  </si>
  <si>
    <t xml:space="preserve">1 panel: 9x24 inches 2 panels: 6x16 inches @ 6999.00 (0) | 1 panel: 14x36 inches 2 panels: 9x24 inches @ 9999.00 (0)</t>
  </si>
  <si>
    <t xml:space="preserve">gid://shopify/ProductVariant/41874380095587</t>
  </si>
  <si>
    <t xml:space="preserve">https://cdn.shopify.com/s/files/1/0572/0077/1171/files/Leaf_Set_V1.png?v=1756410029</t>
  </si>
  <si>
    <t xml:space="preserve">wall-leaf-set-v1</t>
  </si>
  <si>
    <t xml:space="preserve">/products/wall-art/leaf-set-v1.svg</t>
  </si>
  <si>
    <t xml:space="preserve">Heart</t>
  </si>
  <si>
    <t xml:space="preserve">heart</t>
  </si>
  <si>
    <t xml:space="preserve">gid://shopify/Product/7407312404579</t>
  </si>
  <si>
    <t xml:space="preserve">gid://shopify/ProductVariant/41874380292195</t>
  </si>
  <si>
    <t xml:space="preserve">https://cdn.shopify.com/s/files/1/0572/0077/1171/files/Heart_44a15394-b2ab-4c86-a0b7-599219d9b7b4.png?v=1756407941</t>
  </si>
  <si>
    <t xml:space="preserve">wall-heart</t>
  </si>
  <si>
    <t xml:space="preserve">/products/wall-art/heart.svg</t>
  </si>
  <si>
    <t xml:space="preserve">Geometric Heart</t>
  </si>
  <si>
    <t xml:space="preserve">geometric-heart</t>
  </si>
  <si>
    <t xml:space="preserve">gid://shopify/Product/7407312732259</t>
  </si>
  <si>
    <t xml:space="preserve">gid://shopify/ProductVariant/41874381078627</t>
  </si>
  <si>
    <t xml:space="preserve">https://cdn.shopify.com/s/files/1/0572/0077/1171/files/Geometric_Heart.png?v=1756406783</t>
  </si>
  <si>
    <t xml:space="preserve">wall-geometric-heart</t>
  </si>
  <si>
    <t xml:space="preserve">/products/wall-art/geometric-heart.svg</t>
  </si>
  <si>
    <t xml:space="preserve">Flower Floral</t>
  </si>
  <si>
    <t xml:space="preserve">flower-floral</t>
  </si>
  <si>
    <t xml:space="preserve">gid://shopify/Product/7407313092707</t>
  </si>
  <si>
    <t xml:space="preserve">gid://shopify/ProductVariant/41972816052323</t>
  </si>
  <si>
    <t xml:space="preserve">https://cdn.shopify.com/s/files/1/0572/0077/1171/files/Flower_Floral.png?v=1756406048</t>
  </si>
  <si>
    <t xml:space="preserve">wall-flower-floral</t>
  </si>
  <si>
    <t xml:space="preserve">/products/wall-art/flower-floral.svg</t>
  </si>
  <si>
    <t xml:space="preserve">Flower of life</t>
  </si>
  <si>
    <t xml:space="preserve">flower-of-life</t>
  </si>
  <si>
    <t xml:space="preserve">gid://shopify/Product/7407313420387</t>
  </si>
  <si>
    <t xml:space="preserve">gid://shopify/ProductVariant/41874387140707</t>
  </si>
  <si>
    <t xml:space="preserve">https://cdn.shopify.com/s/files/1/0572/0077/1171/files/Flower_of_life.png?v=1756406109</t>
  </si>
  <si>
    <t xml:space="preserve">wall-flower-of-life</t>
  </si>
  <si>
    <t xml:space="preserve">/products/wall-art/flower-of-life.svg</t>
  </si>
  <si>
    <t xml:space="preserve">Family Tree</t>
  </si>
  <si>
    <t xml:space="preserve">family-tree</t>
  </si>
  <si>
    <t xml:space="preserve">gid://shopify/Product/7407313616995</t>
  </si>
  <si>
    <t xml:space="preserve">gid://shopify/ProductVariant/41972805795939</t>
  </si>
  <si>
    <t xml:space="preserve">https://cdn.shopify.com/s/files/1/0572/0077/1171/files/Family_Tree.png?v=1756389118</t>
  </si>
  <si>
    <t xml:space="preserve">wall-family-tree</t>
  </si>
  <si>
    <t xml:space="preserve">/products/wall-art/family-tree.svg</t>
  </si>
  <si>
    <t xml:space="preserve">Elegant Horse Head</t>
  </si>
  <si>
    <t xml:space="preserve">elegant-horse-head</t>
  </si>
  <si>
    <t xml:space="preserve">gid://shopify/Product/7407313879139</t>
  </si>
  <si>
    <t xml:space="preserve">18x18 inches @ 2999.00 (-1) | 24x24 inches @ 3999.00 (-1)</t>
  </si>
  <si>
    <t xml:space="preserve">gid://shopify/ProductVariant/41972684423267</t>
  </si>
  <si>
    <t xml:space="preserve">https://cdn.shopify.com/s/files/1/0572/0077/1171/files/Elegant_Horse_Head.png?v=1756386076</t>
  </si>
  <si>
    <t xml:space="preserve">wall-elegant-horse-head</t>
  </si>
  <si>
    <t xml:space="preserve">/products/wall-art/elegant-horse-head.svg</t>
  </si>
  <si>
    <t xml:space="preserve">Dragon Ball Goku</t>
  </si>
  <si>
    <t xml:space="preserve">dragon-ball-goku-1</t>
  </si>
  <si>
    <t xml:space="preserve">gid://shopify/Product/7407314174051</t>
  </si>
  <si>
    <t xml:space="preserve">2D Wall-Art | Anime/Manga | Dragon Ball | Anime/Manga- 2D</t>
  </si>
  <si>
    <t xml:space="preserve">18x18 inches @ 2999.00 (-4) | 24x24 inches @ 3999.00 (0)</t>
  </si>
  <si>
    <t xml:space="preserve">gid://shopify/ProductVariant/41874388713571</t>
  </si>
  <si>
    <t xml:space="preserve">https://cdn.shopify.com/s/files/1/0572/0077/1171/files/Dragon_Ball_Goku.png?v=1756384375</t>
  </si>
  <si>
    <t xml:space="preserve">wall-dragon-ball-goku-1</t>
  </si>
  <si>
    <t xml:space="preserve">/products/wall-art/dragon-ball-goku-1.svg</t>
  </si>
  <si>
    <t xml:space="preserve">Dolphin</t>
  </si>
  <si>
    <t xml:space="preserve">dolphin</t>
  </si>
  <si>
    <t xml:space="preserve">gid://shopify/Product/7407314239587</t>
  </si>
  <si>
    <t xml:space="preserve">gid://shopify/ProductVariant/41874388811875</t>
  </si>
  <si>
    <t xml:space="preserve">https://cdn.shopify.com/s/files/1/0572/0077/1171/files/Dolphin_665e549d-c111-4c94-aef9-b71b0c555058.png?v=1756384245</t>
  </si>
  <si>
    <t xml:space="preserve">wall-dolphin</t>
  </si>
  <si>
    <t xml:space="preserve">/products/wall-art/dolphin.svg</t>
  </si>
  <si>
    <t xml:space="preserve">Deer head</t>
  </si>
  <si>
    <t xml:space="preserve">dear-head</t>
  </si>
  <si>
    <t xml:space="preserve">gid://shopify/Product/7407314370659</t>
  </si>
  <si>
    <t xml:space="preserve">gid://shopify/ProductVariant/41966249541731</t>
  </si>
  <si>
    <t xml:space="preserve">https://cdn.shopify.com/s/files/1/0572/0077/1171/files/Dear-headcopy.png?v=1756329947</t>
  </si>
  <si>
    <t xml:space="preserve">wall-deer-head</t>
  </si>
  <si>
    <t xml:space="preserve">/products/wall-art/deer-head.svg</t>
  </si>
  <si>
    <t xml:space="preserve">Cat Variant 3</t>
  </si>
  <si>
    <t xml:space="preserve">cat-3</t>
  </si>
  <si>
    <t xml:space="preserve">gid://shopify/Product/7407314698339</t>
  </si>
  <si>
    <t xml:space="preserve">gid://shopify/ProductVariant/41966080262243</t>
  </si>
  <si>
    <t xml:space="preserve">https://cdn.shopify.com/s/files/1/0572/0077/1171/files/Cat_Variant_3.png?v=1756327968</t>
  </si>
  <si>
    <t xml:space="preserve">Floral Butterfly</t>
  </si>
  <si>
    <t xml:space="preserve">butterfly-2</t>
  </si>
  <si>
    <t xml:space="preserve">gid://shopify/Product/7407314829411</t>
  </si>
  <si>
    <t xml:space="preserve">gid://shopify/ProductVariant/41966028062819</t>
  </si>
  <si>
    <t xml:space="preserve">https://cdn.shopify.com/s/files/1/0572/0077/1171/files/Butterflycopy_c29d2632-6ed7-4466-a11b-a4cd1ae7b953.png?v=1756405961</t>
  </si>
  <si>
    <t xml:space="preserve">wall-butterfly-2</t>
  </si>
  <si>
    <t xml:space="preserve">/products/wall-art/butterfly-2.svg</t>
  </si>
  <si>
    <t xml:space="preserve">Arbor</t>
  </si>
  <si>
    <t xml:space="preserve">arbor</t>
  </si>
  <si>
    <t xml:space="preserve">gid://shopify/Product/7407314862179</t>
  </si>
  <si>
    <t xml:space="preserve">3 Panels: 6x12 inches each panel @ 4499.00 (0) | 3 Panels: 12x24 inches each panel @ 5999.00 (0)</t>
  </si>
  <si>
    <t xml:space="preserve">gid://shopify/ProductVariant/41963462525027</t>
  </si>
  <si>
    <t xml:space="preserve">https://cdn.shopify.com/s/files/1/0572/0077/1171/files/Arbor_3d5f0e72-b300-435e-9a49-3bec2d76d3dc.png?v=1756236952</t>
  </si>
  <si>
    <t xml:space="preserve">wall-arbor</t>
  </si>
  <si>
    <t xml:space="preserve">/products/wall-art/arbor.svg</t>
  </si>
  <si>
    <t xml:space="preserve">Amor</t>
  </si>
  <si>
    <t xml:space="preserve">amor</t>
  </si>
  <si>
    <t xml:space="preserve">gid://shopify/Product/7407315026019</t>
  </si>
  <si>
    <t xml:space="preserve">6x12 inches @ 1999.00 (0) | 9x18 inches @ 2499.00 (-1) | 12x24 inches @ 2999.00 (0)</t>
  </si>
  <si>
    <t xml:space="preserve">gid://shopify/ProductVariant/43190319808611</t>
  </si>
  <si>
    <t xml:space="preserve">https://cdn.shopify.com/s/files/1/0572/0077/1171/files/Amor_6c54e159-fab6-4c14-966d-f66b9c6f0727.png?v=1756236501</t>
  </si>
  <si>
    <t xml:space="preserve">wall-amor</t>
  </si>
  <si>
    <t xml:space="preserve">/products/wall-art/amor.svg</t>
  </si>
  <si>
    <t xml:space="preserve">Astronaut</t>
  </si>
  <si>
    <t xml:space="preserve">astronaut</t>
  </si>
  <si>
    <t xml:space="preserve">gid://shopify/Product/7407315091555</t>
  </si>
  <si>
    <t xml:space="preserve">12x18 inches @ 5000.00 (0) | 15x24 inches @ 3499.00 (0)</t>
  </si>
  <si>
    <t xml:space="preserve">gid://shopify/ProductVariant/41963492769891</t>
  </si>
  <si>
    <t xml:space="preserve">https://cdn.shopify.com/s/files/1/0572/0077/1171/files/Astronaut_d0092b61-a15d-400d-8277-938c7f2a5085.png?v=1756237408</t>
  </si>
  <si>
    <t xml:space="preserve">wall-astronaut</t>
  </si>
  <si>
    <t xml:space="preserve">/products/wall-art/astronaut.svg</t>
  </si>
  <si>
    <t xml:space="preserve">Athena</t>
  </si>
  <si>
    <t xml:space="preserve">athena</t>
  </si>
  <si>
    <t xml:space="preserve">gid://shopify/Product/7407315714147</t>
  </si>
  <si>
    <t xml:space="preserve">2D Wall-Art | Minimalistic and Classical Art | Modern Art | Cultural Arts- 2D</t>
  </si>
  <si>
    <t xml:space="preserve">12x16 inches @ 2499.00 (-1) | 18x24 inches @ 5600.00 (-3)</t>
  </si>
  <si>
    <t xml:space="preserve">gid://shopify/ProductVariant/41963501224035</t>
  </si>
  <si>
    <t xml:space="preserve">https://cdn.shopify.com/s/files/1/0572/0077/1171/files/Athena_f5cbbb42-ed61-4bdb-b648-d644536eebd9.png?v=1756237521</t>
  </si>
  <si>
    <t xml:space="preserve">wall-athena</t>
  </si>
  <si>
    <t xml:space="preserve">/products/wall-art/athena.svg</t>
  </si>
  <si>
    <t xml:space="preserve">Atlas</t>
  </si>
  <si>
    <t xml:space="preserve">atlas</t>
  </si>
  <si>
    <t xml:space="preserve">gid://shopify/Product/7407316074595</t>
  </si>
  <si>
    <t xml:space="preserve">9x18 inches @ 2499.00 (0) | 12x24 inches @ 2999.00 (-1)</t>
  </si>
  <si>
    <t xml:space="preserve">gid://shopify/ProductVariant/41963520786531</t>
  </si>
  <si>
    <t xml:space="preserve">https://cdn.shopify.com/s/files/1/0572/0077/1171/files/Atlas_1c9a53d0-8017-4500-892b-731ebb1a7eef.png?v=1756237617</t>
  </si>
  <si>
    <t xml:space="preserve">wall-atlas</t>
  </si>
  <si>
    <t xml:space="preserve">/products/wall-art/atlas.svg</t>
  </si>
  <si>
    <t xml:space="preserve">Boba Fett</t>
  </si>
  <si>
    <t xml:space="preserve">boba-fatt</t>
  </si>
  <si>
    <t xml:space="preserve">gid://shopify/Product/7407316172899</t>
  </si>
  <si>
    <t xml:space="preserve">12x11 inches @ 1999.00 (-1) | 18x16 inches @ 2999.00 (0) | 24x22 inches @ 3999.00 (0)</t>
  </si>
  <si>
    <t xml:space="preserve">gid://shopify/ProductVariant/41965569343587</t>
  </si>
  <si>
    <t xml:space="preserve">https://cdn.shopify.com/s/files/1/0572/0077/1171/files/Boba_Fett.png?v=1756326692</t>
  </si>
  <si>
    <t xml:space="preserve">wall-boba-fett</t>
  </si>
  <si>
    <t xml:space="preserve">/products/wall-art/boba-fett.svg</t>
  </si>
  <si>
    <t xml:space="preserve">Bob Marley</t>
  </si>
  <si>
    <t xml:space="preserve">bob-marley</t>
  </si>
  <si>
    <t xml:space="preserve">gid://shopify/Product/7407316467811</t>
  </si>
  <si>
    <t xml:space="preserve">11x12 inches @ 1999.00 (-1) | 17x18 inches @ 2999.00 (0) | 22x24 inches @ 3999.00 (-1)</t>
  </si>
  <si>
    <t xml:space="preserve">gid://shopify/ProductVariant/41965529137251</t>
  </si>
  <si>
    <t xml:space="preserve">https://cdn.shopify.com/s/files/1/0572/0077/1171/files/Bob_Marley.png?v=1756325413</t>
  </si>
  <si>
    <t xml:space="preserve">wall-bob-marley</t>
  </si>
  <si>
    <t xml:space="preserve">/products/wall-art/bob-marley.svg</t>
  </si>
  <si>
    <t xml:space="preserve">Casual Astro</t>
  </si>
  <si>
    <t xml:space="preserve">casual-astro</t>
  </si>
  <si>
    <t xml:space="preserve">gid://shopify/Product/7407318204515</t>
  </si>
  <si>
    <t xml:space="preserve">10x18 inches @ 2499.00 (0) | 14x24 inches @ 3299.00 (0)</t>
  </si>
  <si>
    <t xml:space="preserve">gid://shopify/ProductVariant/41966038777955</t>
  </si>
  <si>
    <t xml:space="preserve">https://cdn.shopify.com/s/files/1/0572/0077/1171/files/Casual-astrocopy.png?v=1756327417</t>
  </si>
  <si>
    <t xml:space="preserve">wall-casual-astro</t>
  </si>
  <si>
    <t xml:space="preserve">/products/wall-art/casual-astro.svg</t>
  </si>
  <si>
    <t xml:space="preserve">Deter</t>
  </si>
  <si>
    <t xml:space="preserve">deter</t>
  </si>
  <si>
    <t xml:space="preserve">gid://shopify/Product/7407318335587</t>
  </si>
  <si>
    <t xml:space="preserve">2D Wall-Art | Minimalistic and Classical Art | Modern Art | Best Sellers</t>
  </si>
  <si>
    <t xml:space="preserve">3 Panels: 12x18 inches each panel @ 5000.00 (0)</t>
  </si>
  <si>
    <t xml:space="preserve">gid://shopify/ProductVariant/41971746046051</t>
  </si>
  <si>
    <t xml:space="preserve">https://cdn.shopify.com/s/files/1/0572/0077/1171/files/Detercopy.png?v=1756330335</t>
  </si>
  <si>
    <t xml:space="preserve">wall-deter</t>
  </si>
  <si>
    <t xml:space="preserve">/products/wall-art/deter.svg</t>
  </si>
  <si>
    <t xml:space="preserve">Faglar</t>
  </si>
  <si>
    <t xml:space="preserve">faglar</t>
  </si>
  <si>
    <t xml:space="preserve">gid://shopify/Product/7407318466659</t>
  </si>
  <si>
    <t xml:space="preserve">4 Panels: 9x18 inches each panel @ 5999.00 (0) | 4 Panels: 12x24 inches each panel @ 9999.00 (0)</t>
  </si>
  <si>
    <t xml:space="preserve">gid://shopify/ProductVariant/41874395201635</t>
  </si>
  <si>
    <t xml:space="preserve">https://cdn.shopify.com/s/files/1/0572/0077/1171/files/Faglar_16264a6c-a3f4-4d00-820f-b219a963dbb9.png?v=1756389064</t>
  </si>
  <si>
    <t xml:space="preserve">wall-faglar</t>
  </si>
  <si>
    <t xml:space="preserve">/products/wall-art/faglar.svg</t>
  </si>
  <si>
    <t xml:space="preserve">Leon &amp; Mathilda</t>
  </si>
  <si>
    <t xml:space="preserve">leon-mathilda</t>
  </si>
  <si>
    <t xml:space="preserve">gid://shopify/Product/7407318532195</t>
  </si>
  <si>
    <t xml:space="preserve">17x18 inches @ 2999.00 (0) | 22x24 inches @ 3999.00 (0)</t>
  </si>
  <si>
    <t xml:space="preserve">gid://shopify/ProductVariant/41972935065699</t>
  </si>
  <si>
    <t xml:space="preserve">https://cdn.shopify.com/s/files/1/0572/0077/1171/files/Leon_Mathilda_a04a1355-cb5e-4cb8-b973-de86756f83da.png?v=1756410223</t>
  </si>
  <si>
    <t xml:space="preserve">wall-leon-and-mathilda</t>
  </si>
  <si>
    <t xml:space="preserve">/products/wall-art/leon-and-mathilda.svg</t>
  </si>
  <si>
    <t xml:space="preserve">Lines Metal</t>
  </si>
  <si>
    <t xml:space="preserve">lines-metal-wall-art</t>
  </si>
  <si>
    <t xml:space="preserve">gid://shopify/Product/7407318663267</t>
  </si>
  <si>
    <t xml:space="preserve">6x9 inches each panel @ 3500.00 (499) | 18x24 inches each panel @ 5600.00 (500)</t>
  </si>
  <si>
    <t xml:space="preserve">gid://shopify/ProductVariant/41874396053603</t>
  </si>
  <si>
    <t xml:space="preserve">https://cdn.shopify.com/s/files/1/0572/0077/1171/files/lines-metal-wall-artcopy.png?v=1756411049</t>
  </si>
  <si>
    <t xml:space="preserve">wall-lines-metal-wall-art</t>
  </si>
  <si>
    <t xml:space="preserve">/products/wall-art/lines-metal-wall-art.svg</t>
  </si>
  <si>
    <t xml:space="preserve">Lucid</t>
  </si>
  <si>
    <t xml:space="preserve">lucid</t>
  </si>
  <si>
    <t xml:space="preserve">gid://shopify/Product/7407318728803</t>
  </si>
  <si>
    <t xml:space="preserve">12x16 inches @ 2499.00 (0) | 18x24 inches @ 5600.00 (-1)</t>
  </si>
  <si>
    <t xml:space="preserve">gid://shopify/ProductVariant/41874396184675</t>
  </si>
  <si>
    <t xml:space="preserve">https://cdn.shopify.com/s/files/1/0572/0077/1171/files/Lucid_392ef2a2-22da-41a7-a86f-79f3638ce1f1.png?v=1756411301</t>
  </si>
  <si>
    <t xml:space="preserve">wall-lucid</t>
  </si>
  <si>
    <t xml:space="preserve">/products/wall-art/lucid.svg</t>
  </si>
  <si>
    <t xml:space="preserve">Love</t>
  </si>
  <si>
    <t xml:space="preserve">luv</t>
  </si>
  <si>
    <t xml:space="preserve">gid://shopify/Product/7407318761571</t>
  </si>
  <si>
    <t xml:space="preserve">3 Panels: 12x18 each panel @ 5000.00 (0) | 3 Panels: 16x24 each panel @ 5600.00 (0)</t>
  </si>
  <si>
    <t xml:space="preserve">gid://shopify/ProductVariant/41874396282979</t>
  </si>
  <si>
    <t xml:space="preserve">https://cdn.shopify.com/s/files/1/0572/0077/1171/files/Love.png?v=1756498088</t>
  </si>
  <si>
    <t xml:space="preserve">wall-love</t>
  </si>
  <si>
    <t xml:space="preserve">/products/wall-art/love.svg</t>
  </si>
  <si>
    <t xml:space="preserve">Mantra</t>
  </si>
  <si>
    <t xml:space="preserve">mantra</t>
  </si>
  <si>
    <t xml:space="preserve">gid://shopify/Product/7407318958179</t>
  </si>
  <si>
    <t xml:space="preserve">gid://shopify/ProductVariant/41874396905571</t>
  </si>
  <si>
    <t xml:space="preserve">https://cdn.shopify.com/s/files/1/0572/0077/1171/files/Mantracopy.png?v=1756411816</t>
  </si>
  <si>
    <t xml:space="preserve">wall-mantra</t>
  </si>
  <si>
    <t xml:space="preserve">/products/wall-art/mantra.svg</t>
  </si>
  <si>
    <t xml:space="preserve">Pulp Fiction V.2</t>
  </si>
  <si>
    <t xml:space="preserve">pulp-fiction-v-2</t>
  </si>
  <si>
    <t xml:space="preserve">gid://shopify/Product/7407319154787</t>
  </si>
  <si>
    <t xml:space="preserve">gid://shopify/ProductVariant/41874397757539</t>
  </si>
  <si>
    <t xml:space="preserve">https://cdn.shopify.com/s/files/1/0572/0077/1171/files/Pulp_Fiction_V.2.png?v=1756493809</t>
  </si>
  <si>
    <t xml:space="preserve">wall-pulp-fiction-v-2</t>
  </si>
  <si>
    <t xml:space="preserve">/products/wall-art/pulp-fiction-v-2.svg</t>
  </si>
  <si>
    <t xml:space="preserve">Terra</t>
  </si>
  <si>
    <t xml:space="preserve">terra</t>
  </si>
  <si>
    <t xml:space="preserve">gid://shopify/Product/7407319220323</t>
  </si>
  <si>
    <t xml:space="preserve">12x24 inches @ 2999.00 (0)</t>
  </si>
  <si>
    <t xml:space="preserve">gid://shopify/ProductVariant/41973234303075</t>
  </si>
  <si>
    <t xml:space="preserve">https://cdn.shopify.com/s/files/1/0572/0077/1171/files/Terracopy.png?v=1756495980</t>
  </si>
  <si>
    <t xml:space="preserve">wall-terra</t>
  </si>
  <si>
    <t xml:space="preserve">/products/wall-art/terra.svg</t>
  </si>
  <si>
    <t xml:space="preserve">The Notorious big biggle</t>
  </si>
  <si>
    <t xml:space="preserve">the-notorious-big-biggle</t>
  </si>
  <si>
    <t xml:space="preserve">gid://shopify/Product/7407319384163</t>
  </si>
  <si>
    <t xml:space="preserve">gid://shopify/ProductVariant/41874398347363</t>
  </si>
  <si>
    <t xml:space="preserve">https://cdn.shopify.com/s/files/1/0572/0077/1171/files/The_Notorious_big_biggle.png?v=1756496040</t>
  </si>
  <si>
    <t xml:space="preserve">wall-the-notorious-big-biggle</t>
  </si>
  <si>
    <t xml:space="preserve">/products/wall-art/the-notorious-big-biggle.svg</t>
  </si>
  <si>
    <t xml:space="preserve">Tupac 2pac</t>
  </si>
  <si>
    <t xml:space="preserve">tupac-2pac</t>
  </si>
  <si>
    <t xml:space="preserve">gid://shopify/Product/7407319580771</t>
  </si>
  <si>
    <t xml:space="preserve">gid://shopify/ProductVariant/41874399035491</t>
  </si>
  <si>
    <t xml:space="preserve">https://cdn.shopify.com/s/files/1/0572/0077/1171/files/Tupac-2paccopy.png?v=1756496622</t>
  </si>
  <si>
    <t xml:space="preserve">wall-tupac-2pac</t>
  </si>
  <si>
    <t xml:space="preserve">/products/wall-art/tupac-2pac.svg</t>
  </si>
  <si>
    <t xml:space="preserve">Wander</t>
  </si>
  <si>
    <t xml:space="preserve">wander</t>
  </si>
  <si>
    <t xml:space="preserve">gid://shopify/Product/7407319679075</t>
  </si>
  <si>
    <t xml:space="preserve">gid://shopify/ProductVariant/41874399395939</t>
  </si>
  <si>
    <t xml:space="preserve">https://cdn.shopify.com/s/files/1/0572/0077/1171/files/Wander_d8671e7c-a9af-40e8-8dfa-52a9b49eafd3.png?v=1756496729</t>
  </si>
  <si>
    <t xml:space="preserve">wall-wander</t>
  </si>
  <si>
    <t xml:space="preserve">/products/wall-art/wander.svg</t>
  </si>
  <si>
    <t xml:space="preserve">Welter's Monkey</t>
  </si>
  <si>
    <t xml:space="preserve">welters-monkey</t>
  </si>
  <si>
    <t xml:space="preserve">gid://shopify/Product/7407319777379</t>
  </si>
  <si>
    <t xml:space="preserve">gid://shopify/ProductVariant/41874400051299</t>
  </si>
  <si>
    <t xml:space="preserve">https://cdn.shopify.com/s/files/1/0572/0077/1171/files/Welter_s-Monkeycopy.png?v=1756496836</t>
  </si>
  <si>
    <t xml:space="preserve">wall-welter-s-monkey</t>
  </si>
  <si>
    <t xml:space="preserve">/products/wall-art/welter-s-monkey.svg</t>
  </si>
  <si>
    <t xml:space="preserve">World map Route</t>
  </si>
  <si>
    <t xml:space="preserve">world-map-route</t>
  </si>
  <si>
    <t xml:space="preserve">gid://shopify/Product/7407319875683</t>
  </si>
  <si>
    <t xml:space="preserve">18x24 inches @ 5600.00 (-2)</t>
  </si>
  <si>
    <t xml:space="preserve">gid://shopify/ProductVariant/41973132197987</t>
  </si>
  <si>
    <t xml:space="preserve">https://cdn.shopify.com/s/files/1/0572/0077/1171/files/World_map_Route.png?v=1756497346</t>
  </si>
  <si>
    <t xml:space="preserve">wall-world-map-route</t>
  </si>
  <si>
    <t xml:space="preserve">/products/wall-art/world-map-route.svg</t>
  </si>
  <si>
    <t xml:space="preserve">Amy Winehouse</t>
  </si>
  <si>
    <t xml:space="preserve">amy-winehouse</t>
  </si>
  <si>
    <t xml:space="preserve">gid://shopify/Product/7407320694883</t>
  </si>
  <si>
    <t xml:space="preserve">gid://shopify/ProductVariant/41963295244387</t>
  </si>
  <si>
    <t xml:space="preserve">https://cdn.shopify.com/s/files/1/0572/0077/1171/files/Amy_Winehouse.png?v=1756236584</t>
  </si>
  <si>
    <t xml:space="preserve">wall-amy-winehouse</t>
  </si>
  <si>
    <t xml:space="preserve">/products/wall-art/amy-winehouse.svg</t>
  </si>
  <si>
    <t xml:space="preserve">Butterflies</t>
  </si>
  <si>
    <t xml:space="preserve">butterflies-with-bundle-of-mini-butterflies</t>
  </si>
  <si>
    <t xml:space="preserve">gid://shopify/Product/7407321284707</t>
  </si>
  <si>
    <t xml:space="preserve">2D Wall-Art | Animals | Maths and Nature | Modern Art</t>
  </si>
  <si>
    <t xml:space="preserve">gid://shopify/ProductVariant/41965744291939</t>
  </si>
  <si>
    <t xml:space="preserve">https://cdn.shopify.com/s/files/1/0572/0077/1171/files/Butterflies-with-bundle-of-mini-butterfliescopy.png?v=1756326948</t>
  </si>
  <si>
    <t xml:space="preserve">Climber</t>
  </si>
  <si>
    <t xml:space="preserve">climber</t>
  </si>
  <si>
    <t xml:space="preserve">gid://shopify/Product/7407321448547</t>
  </si>
  <si>
    <t xml:space="preserve">6x16 inches @ 2499.00 (0) | 9x24 inches @ 2999.00 (0)</t>
  </si>
  <si>
    <t xml:space="preserve">gid://shopify/ProductVariant/41966169489507</t>
  </si>
  <si>
    <t xml:space="preserve">https://cdn.shopify.com/s/files/1/0572/0077/1171/files/Climbercopy.png?v=1756328291</t>
  </si>
  <si>
    <t xml:space="preserve">wall-climber</t>
  </si>
  <si>
    <t xml:space="preserve">/products/wall-art/climber.svg</t>
  </si>
  <si>
    <t xml:space="preserve">Creation Of Adam</t>
  </si>
  <si>
    <t xml:space="preserve">creation-of-adam</t>
  </si>
  <si>
    <t xml:space="preserve">gid://shopify/Product/7407321743459</t>
  </si>
  <si>
    <t xml:space="preserve">gid://shopify/ProductVariant/41972554006627</t>
  </si>
  <si>
    <t xml:space="preserve">https://cdn.shopify.com/s/files/1/0572/0077/1171/files/Creation-Of-Adamcopy.png?v=1756328429</t>
  </si>
  <si>
    <t xml:space="preserve">wall-creation-of-adam-new</t>
  </si>
  <si>
    <t xml:space="preserve">/products/wall-art/creation-of-adam-new.svg</t>
  </si>
  <si>
    <t xml:space="preserve">Decor Horse</t>
  </si>
  <si>
    <t xml:space="preserve">decor-hourse</t>
  </si>
  <si>
    <t xml:space="preserve">gid://shopify/Product/7407322103907</t>
  </si>
  <si>
    <t xml:space="preserve">3 Panels: 6x12 inches each panel @ 4499.00 (0) | 3 Panels: 9x18 inches each panel @ 6499.00 (0) | 3 Panels: 12x24 inches each panel @ 8499.00 (0)</t>
  </si>
  <si>
    <t xml:space="preserve">gid://shopify/ProductVariant/41966262780003</t>
  </si>
  <si>
    <t xml:space="preserve">https://cdn.shopify.com/s/files/1/0572/0077/1171/files/Decor-Hoursecopy.png?v=1756329623</t>
  </si>
  <si>
    <t xml:space="preserve">wall-decor-horse</t>
  </si>
  <si>
    <t xml:space="preserve">/products/wall-art/decor-horse.svg</t>
  </si>
  <si>
    <t xml:space="preserve">Decor Wall Frames</t>
  </si>
  <si>
    <t xml:space="preserve">decor-wall-frames</t>
  </si>
  <si>
    <t xml:space="preserve">gid://shopify/Product/7407322267747</t>
  </si>
  <si>
    <t xml:space="preserve">15x18 inches @ 2499.00 (0) | 20x24 inches @ 3499.00 (-1)</t>
  </si>
  <si>
    <t xml:space="preserve">gid://shopify/ProductVariant/41966274216035</t>
  </si>
  <si>
    <t xml:space="preserve">https://cdn.shopify.com/s/files/1/0572/0077/1171/files/Decor-Wall-Framescopy.png?v=1756329827</t>
  </si>
  <si>
    <t xml:space="preserve">wall-decor-wall-frames</t>
  </si>
  <si>
    <t xml:space="preserve">/products/wall-art/decor-wall-frames.svg</t>
  </si>
  <si>
    <t xml:space="preserve">Existen</t>
  </si>
  <si>
    <t xml:space="preserve">existen</t>
  </si>
  <si>
    <t xml:space="preserve">gid://shopify/Product/7407322333283</t>
  </si>
  <si>
    <t xml:space="preserve">gid://shopify/ProductVariant/41972746354787</t>
  </si>
  <si>
    <t xml:space="preserve">https://cdn.shopify.com/s/files/1/0572/0077/1171/files/Existen_fa012c0c-64f6-4d74-af50-b594b4604f99.png?v=1756388794</t>
  </si>
  <si>
    <t xml:space="preserve">wall-existen</t>
  </si>
  <si>
    <t xml:space="preserve">/products/wall-art/existen.svg</t>
  </si>
  <si>
    <t xml:space="preserve">Hamsa</t>
  </si>
  <si>
    <t xml:space="preserve">hamsa</t>
  </si>
  <si>
    <t xml:space="preserve">gid://shopify/Product/7407322398819</t>
  </si>
  <si>
    <t xml:space="preserve">2D Wall-Art | Maths and Nature | Cultural Arts- 2D</t>
  </si>
  <si>
    <t xml:space="preserve">gid://shopify/ProductVariant/41874408341603</t>
  </si>
  <si>
    <t xml:space="preserve">https://cdn.shopify.com/s/files/1/0572/0077/1171/files/Hamsa_8096d929-948c-4a71-a63e-50d983248f60.png?v=1756407735</t>
  </si>
  <si>
    <t xml:space="preserve">wall-hamsa</t>
  </si>
  <si>
    <t xml:space="preserve">/products/wall-art/hamsa.svg</t>
  </si>
  <si>
    <t xml:space="preserve">Lighthouse</t>
  </si>
  <si>
    <t xml:space="preserve">light-house</t>
  </si>
  <si>
    <t xml:space="preserve">gid://shopify/Product/7407322759267</t>
  </si>
  <si>
    <t xml:space="preserve">gid://shopify/ProductVariant/41874409652323</t>
  </si>
  <si>
    <t xml:space="preserve">https://cdn.shopify.com/s/files/1/0572/0077/1171/files/Lighthouse.png?v=1756410838</t>
  </si>
  <si>
    <t xml:space="preserve">wall-light-house</t>
  </si>
  <si>
    <t xml:space="preserve">/products/wall-art/light-house.svg</t>
  </si>
  <si>
    <t xml:space="preserve">Loving Decoration Frame</t>
  </si>
  <si>
    <t xml:space="preserve">loving-decoration-frame</t>
  </si>
  <si>
    <t xml:space="preserve">gid://shopify/Product/7407322955875</t>
  </si>
  <si>
    <t xml:space="preserve">gid://shopify/ProductVariant/41973040775267</t>
  </si>
  <si>
    <t xml:space="preserve">https://cdn.shopify.com/s/files/1/0572/0077/1171/files/Loving_Decoration_Frame.png?v=1756411246</t>
  </si>
  <si>
    <t xml:space="preserve">wall-loving-decoration-frame</t>
  </si>
  <si>
    <t xml:space="preserve">/products/wall-art/loving-decoration-frame.svg</t>
  </si>
  <si>
    <t xml:space="preserve">M2 Marla Singer</t>
  </si>
  <si>
    <t xml:space="preserve">m2-marla-singer</t>
  </si>
  <si>
    <t xml:space="preserve">gid://shopify/Product/7407323316323</t>
  </si>
  <si>
    <t xml:space="preserve">12x18 inches @ 5000.00 (-4) | 16x24 inches @ 5600.00 (0)</t>
  </si>
  <si>
    <t xml:space="preserve">gid://shopify/ProductVariant/41874411847779</t>
  </si>
  <si>
    <t xml:space="preserve">https://cdn.shopify.com/s/files/1/0572/0077/1171/files/M2Marla-Singercopy.png?v=1756411450</t>
  </si>
  <si>
    <t xml:space="preserve">wall-marla-singer-new</t>
  </si>
  <si>
    <t xml:space="preserve">/products/wall-art/marla-singer-new.svg</t>
  </si>
  <si>
    <t xml:space="preserve">Marilyn Monroe</t>
  </si>
  <si>
    <t xml:space="preserve">marilyn-monroe</t>
  </si>
  <si>
    <t xml:space="preserve">gid://shopify/Product/7407323545699</t>
  </si>
  <si>
    <t xml:space="preserve">2D Wall-Art | Personalities | Movies</t>
  </si>
  <si>
    <t xml:space="preserve">gid://shopify/ProductVariant/41874412568675</t>
  </si>
  <si>
    <t xml:space="preserve">https://cdn.shopify.com/s/files/1/0572/0077/1171/files/Marilyn_Monroe.png?v=1756411859</t>
  </si>
  <si>
    <t xml:space="preserve">wall-marilyn-monroe</t>
  </si>
  <si>
    <t xml:space="preserve">/products/wall-art/marilyn-monroe.svg</t>
  </si>
  <si>
    <t xml:space="preserve">Monstera</t>
  </si>
  <si>
    <t xml:space="preserve">monstera</t>
  </si>
  <si>
    <t xml:space="preserve">gid://shopify/Product/7407323709539</t>
  </si>
  <si>
    <t xml:space="preserve">gid://shopify/ProductVariant/41874413355107</t>
  </si>
  <si>
    <t xml:space="preserve">https://cdn.shopify.com/s/files/1/0572/0077/1171/files/Monstera_14905f62-4205-446c-9792-aa7c317f01e5.png?v=1756412281</t>
  </si>
  <si>
    <t xml:space="preserve">wall-monstera</t>
  </si>
  <si>
    <t xml:space="preserve">/products/wall-art/monstera.svg</t>
  </si>
  <si>
    <t xml:space="preserve">Poseidon</t>
  </si>
  <si>
    <t xml:space="preserve">poseidon</t>
  </si>
  <si>
    <t xml:space="preserve">gid://shopify/Product/7407323906147</t>
  </si>
  <si>
    <t xml:space="preserve">gid://shopify/ProductVariant/41874413944931</t>
  </si>
  <si>
    <t xml:space="preserve">https://cdn.shopify.com/s/files/1/0572/0077/1171/files/Poseidoncopy.png?v=1756493693</t>
  </si>
  <si>
    <t xml:space="preserve">wall-poseidon</t>
  </si>
  <si>
    <t xml:space="preserve">/products/wall-art/poseidon.svg</t>
  </si>
  <si>
    <t xml:space="preserve">Themis</t>
  </si>
  <si>
    <t xml:space="preserve">themis-v-1</t>
  </si>
  <si>
    <t xml:space="preserve">gid://shopify/Product/7407324004451</t>
  </si>
  <si>
    <t xml:space="preserve">15x18 inches @ 2999.00 (0) | 20x24 inches @ 3999.00 (-1)</t>
  </si>
  <si>
    <t xml:space="preserve">gid://shopify/ProductVariant/41874414141539</t>
  </si>
  <si>
    <t xml:space="preserve">https://cdn.shopify.com/s/files/1/0572/0077/1171/files/Themis.png?v=1756496122</t>
  </si>
  <si>
    <t xml:space="preserve">wall-themis-v-1</t>
  </si>
  <si>
    <t xml:space="preserve">/products/wall-art/themis-v-1.svg</t>
  </si>
  <si>
    <t xml:space="preserve">Wolf Variant 3</t>
  </si>
  <si>
    <t xml:space="preserve">wolf-v-4</t>
  </si>
  <si>
    <t xml:space="preserve">gid://shopify/Product/7407324921955</t>
  </si>
  <si>
    <t xml:space="preserve">gid://shopify/ProductVariant/41874416402531</t>
  </si>
  <si>
    <t xml:space="preserve">https://cdn.shopify.com/s/files/1/0572/0077/1171/files/Wolf_Variant_3.png?v=1756497278</t>
  </si>
  <si>
    <t xml:space="preserve">tiger-1</t>
  </si>
  <si>
    <t xml:space="preserve">gid://shopify/Product/7436402393187</t>
  </si>
  <si>
    <t xml:space="preserve">6x9 inches @ 3500.00 (99) | 8x12 inches @ 4200.00 (0) | 12x18 inches @ 5000.00 (99) | 18x24 inches @ 5600.00 (99)</t>
  </si>
  <si>
    <t xml:space="preserve">gid://shopify/ProductVariant/42125683589219</t>
  </si>
  <si>
    <t xml:space="preserve">https://cdn.shopify.com/s/files/1/0572/0077/1171/files/Tiger_9dde9975-1308-4550-b12e-783744b940be.png?v=1756496310</t>
  </si>
  <si>
    <t xml:space="preserve">Moonlit Night</t>
  </si>
  <si>
    <t xml:space="preserve">moonlit-night</t>
  </si>
  <si>
    <t xml:space="preserve">gid://shopify/Product/7436402851939</t>
  </si>
  <si>
    <t xml:space="preserve">Digital Art</t>
  </si>
  <si>
    <t xml:space="preserve">6x9 inches @ 3500.00 (0) | 8x12 inches @ 4200.00 (999) | 12x18 inches @ 5000.00 (99) | 18x24 inches @ 5600.00 (99)</t>
  </si>
  <si>
    <t xml:space="preserve">gid://shopify/ProductVariant/43541081456739</t>
  </si>
  <si>
    <t xml:space="preserve">https://cdn.shopify.com/s/files/1/0572/0077/1171/files/Moonlit_Night.png?v=1756412353</t>
  </si>
  <si>
    <t xml:space="preserve">Moonlit Night Variant 2</t>
  </si>
  <si>
    <t xml:space="preserve">moonlit-night-v2</t>
  </si>
  <si>
    <t xml:space="preserve">gid://shopify/Product/7436403540067</t>
  </si>
  <si>
    <t xml:space="preserve">6x9 inches @ 3500.00 (0) | 8x12 inches @ 4200.00 (99) | 12x18 inches @ 5000.00 (9) | 18x24 inches @ 5600.00 (9)</t>
  </si>
  <si>
    <t xml:space="preserve">gid://shopify/ProductVariant/43541080670307</t>
  </si>
  <si>
    <t xml:space="preserve">https://cdn.shopify.com/s/files/1/0572/0077/1171/files/Moonlit_Night_Variant_2.png?v=1756412440</t>
  </si>
  <si>
    <t xml:space="preserve">Lightning Dragon</t>
  </si>
  <si>
    <t xml:space="preserve">lightning-dragon</t>
  </si>
  <si>
    <t xml:space="preserve">gid://shopify/Product/7436404129891</t>
  </si>
  <si>
    <t xml:space="preserve">Anime/Manga | Digital Art | Best Sellers</t>
  </si>
  <si>
    <t xml:space="preserve">6x9 inches @ 3500.00 (0) | 8x12 inches @ 4200.00 (999) | 12x18 inches @ 5000.00 (18) | 18x24 inches @ 5600.00 (9)</t>
  </si>
  <si>
    <t xml:space="preserve">gid://shopify/ProductVariant/43541080244323</t>
  </si>
  <si>
    <t xml:space="preserve">https://cdn.shopify.com/s/files/1/0572/0077/1171/files/Artboard6_0746ded1-9b4d-4512-b0b0-5ec53370f3a7.png?v=1756410898</t>
  </si>
  <si>
    <t xml:space="preserve">Ink Style Dancing Girl</t>
  </si>
  <si>
    <t xml:space="preserve">dancing-girl</t>
  </si>
  <si>
    <t xml:space="preserve">gid://shopify/Product/7448697012323</t>
  </si>
  <si>
    <t xml:space="preserve">Minimalistic and Classical Art | Modern Art</t>
  </si>
  <si>
    <t xml:space="preserve">6x9 inches @ 3500.00 (99) | 8x12 inches @ 4200.00 (0) | 12x18 inches @ 5000.00 (9) | 18x24 inches @ 5600.00 (9)</t>
  </si>
  <si>
    <t xml:space="preserve">gid://shopify/ProductVariant/42125533347939</t>
  </si>
  <si>
    <t xml:space="preserve">https://cdn.shopify.com/s/files/1/0572/0077/1171/files/Artboard6_9ac0e834-53bb-4aaa-9d7f-905048ec14a4.png?v=1756408758</t>
  </si>
  <si>
    <t xml:space="preserve">2024-05-20</t>
  </si>
  <si>
    <t xml:space="preserve">Ink Abstract</t>
  </si>
  <si>
    <t xml:space="preserve">ink-abstract</t>
  </si>
  <si>
    <t xml:space="preserve">gid://shopify/Product/7448730959971</t>
  </si>
  <si>
    <t xml:space="preserve">Minimalistic and Classical Art | Modern Art | Digital Art</t>
  </si>
  <si>
    <t xml:space="preserve">gid://shopify/ProductVariant/42125603242083</t>
  </si>
  <si>
    <t xml:space="preserve">https://cdn.shopify.com/s/files/1/0572/0077/1171/files/Artboard6_5062cc72-1c20-4316-a9b8-9f819226f726.png?v=1756499097</t>
  </si>
  <si>
    <t xml:space="preserve">Ink Dancing girl</t>
  </si>
  <si>
    <t xml:space="preserve">ink-dancing-girl</t>
  </si>
  <si>
    <t xml:space="preserve">gid://shopify/Product/7448734892131</t>
  </si>
  <si>
    <t xml:space="preserve">6x9 inches @ 3500.00 (99) | 8x12 inches @ 4200.00 (0) | 12x18 inches @ 5000.00 (18) | 18x24 inches @ 5600.00 (18)</t>
  </si>
  <si>
    <t xml:space="preserve">gid://shopify/ProductVariant/42125621264483</t>
  </si>
  <si>
    <t xml:space="preserve">https://cdn.shopify.com/s/files/1/0572/0077/1171/files/InkDancinggirl.png?v=1756499261</t>
  </si>
  <si>
    <t xml:space="preserve">Ink Dancing Girl Variant 2</t>
  </si>
  <si>
    <t xml:space="preserve">ink-dancing-girl-2</t>
  </si>
  <si>
    <t xml:space="preserve">gid://shopify/Product/7448753635427</t>
  </si>
  <si>
    <t xml:space="preserve">gid://shopify/ProductVariant/42125624737891</t>
  </si>
  <si>
    <t xml:space="preserve">https://cdn.shopify.com/s/files/1/0572/0077/1171/files/InkDancingGirlVariant2.png?v=1756499166</t>
  </si>
  <si>
    <t xml:space="preserve">Ink Dancing Girl Variant 3</t>
  </si>
  <si>
    <t xml:space="preserve">ink-dancing-girl-3</t>
  </si>
  <si>
    <t xml:space="preserve">gid://shopify/Product/7448762024035</t>
  </si>
  <si>
    <t xml:space="preserve">gid://shopify/ProductVariant/42125637517411</t>
  </si>
  <si>
    <t xml:space="preserve">https://cdn.shopify.com/s/files/1/0572/0077/1171/files/InkDancingGirlVariant3.png?v=1756499219</t>
  </si>
  <si>
    <t xml:space="preserve">Ink Thumbprint</t>
  </si>
  <si>
    <t xml:space="preserve">ink-thumbprint</t>
  </si>
  <si>
    <t xml:space="preserve">gid://shopify/Product/7448830083171</t>
  </si>
  <si>
    <t xml:space="preserve">gid://shopify/ProductVariant/42125638697059</t>
  </si>
  <si>
    <t xml:space="preserve">https://cdn.shopify.com/s/files/1/0572/0077/1171/files/InkThumbprint.png?v=1756546149</t>
  </si>
  <si>
    <t xml:space="preserve">Black Ink Abstract</t>
  </si>
  <si>
    <t xml:space="preserve">abstract</t>
  </si>
  <si>
    <t xml:space="preserve">gid://shopify/Product/7448833163363</t>
  </si>
  <si>
    <t xml:space="preserve">6x9 inches @ 3500.00 (99) | 8x12 inches @ 4200.00 (0) | 12x18 inches @ 5000.00 (11) | 16x24 inches @ 5600.00 (10)</t>
  </si>
  <si>
    <t xml:space="preserve">gid://shopify/ProductVariant/42125496057955</t>
  </si>
  <si>
    <t xml:space="preserve">https://cdn.shopify.com/s/files/1/0572/0077/1171/files/Artboard9_0d05f395-3b10-4568-9086-f5e47174352f.png?v=1756329187</t>
  </si>
  <si>
    <t xml:space="preserve">Black and White Whirlpool</t>
  </si>
  <si>
    <t xml:space="preserve">abstract-1</t>
  </si>
  <si>
    <t xml:space="preserve">gid://shopify/Product/7448836341859</t>
  </si>
  <si>
    <t xml:space="preserve">6x9 inches @ 3500.00 (99) | 8x12 inches @ 4200.00 (0) | 12x18 inches @ 5000.00 (10) | 18x24 inches @ 5600.00 (10)</t>
  </si>
  <si>
    <t xml:space="preserve">gid://shopify/ProductVariant/42125497303139</t>
  </si>
  <si>
    <t xml:space="preserve">https://cdn.shopify.com/s/files/1/0572/0077/1171/files/Artboard9_12d25131-9dd1-4b29-b83c-9bd5ca11cbcf.png?v=1756498323</t>
  </si>
  <si>
    <t xml:space="preserve">Abstract dancer</t>
  </si>
  <si>
    <t xml:space="preserve">abstract-dancing-girl</t>
  </si>
  <si>
    <t xml:space="preserve">gid://shopify/Product/7448848629859</t>
  </si>
  <si>
    <t xml:space="preserve">Minimalistic and Classical Art | Modern Art | Digital Art | Best Sellers</t>
  </si>
  <si>
    <t xml:space="preserve">6x9 inches @ 3500.00 (999) | 8x12 inches @ 4200.00 (0) | 12x18 inches @ 5000.00 (9) | 18x24 inches @ 5600.00 (9)</t>
  </si>
  <si>
    <t xml:space="preserve">gid://shopify/ProductVariant/42125500481635</t>
  </si>
  <si>
    <t xml:space="preserve">https://cdn.shopify.com/s/files/1/0572/0077/1171/files/Abstractdancer.png?v=1756498175</t>
  </si>
  <si>
    <t xml:space="preserve">Baby Groot</t>
  </si>
  <si>
    <t xml:space="preserve">baby-groot</t>
  </si>
  <si>
    <t xml:space="preserve">gid://shopify/Product/7449001001059</t>
  </si>
  <si>
    <t xml:space="preserve">11x18 inches @ 2499.00 (9) | 14x24 inches @ 2999.00 (9)</t>
  </si>
  <si>
    <t xml:space="preserve">gid://shopify/ProductVariant/42000415588451</t>
  </si>
  <si>
    <t xml:space="preserve">https://cdn.shopify.com/s/files/1/0572/0077/1171/files/BabyGroot_c54a02fd-1602-45df-a9ae-4d20120183a9.png?v=1756497820</t>
  </si>
  <si>
    <t xml:space="preserve">wall-baby-groot</t>
  </si>
  <si>
    <t xml:space="preserve">/products/wall-art/baby-groot.svg</t>
  </si>
  <si>
    <t xml:space="preserve">Batman and Joker</t>
  </si>
  <si>
    <t xml:space="preserve">batman-and-joker</t>
  </si>
  <si>
    <t xml:space="preserve">gid://shopify/Product/7449003163747</t>
  </si>
  <si>
    <t xml:space="preserve">12x16 inches @ 2499.00 (9) | 18x24 inches @ 5600.00 (9)</t>
  </si>
  <si>
    <t xml:space="preserve">gid://shopify/ProductVariant/42000419061859</t>
  </si>
  <si>
    <t xml:space="preserve">https://cdn.shopify.com/s/files/1/0572/0077/1171/files/Batman_and_Joker.png?v=1756238023</t>
  </si>
  <si>
    <t xml:space="preserve">wall-batman-and-joker</t>
  </si>
  <si>
    <t xml:space="preserve">/products/wall-art/batman-and-joker.svg</t>
  </si>
  <si>
    <t xml:space="preserve">Batman DC Superhero</t>
  </si>
  <si>
    <t xml:space="preserve">batman-dc-superhero</t>
  </si>
  <si>
    <t xml:space="preserve">gid://shopify/Product/7449006211171</t>
  </si>
  <si>
    <t xml:space="preserve">12x12 inches @ 1999.00 (9) | 18x18 inches @ 2999.00 (9) | 24x24 inches @ 3999.00 (9)</t>
  </si>
  <si>
    <t xml:space="preserve">gid://shopify/ProductVariant/42000423714915</t>
  </si>
  <si>
    <t xml:space="preserve">https://cdn.shopify.com/s/files/1/0572/0077/1171/files/Batman_DC_Superhero.png?v=1756238082</t>
  </si>
  <si>
    <t xml:space="preserve">wall-batman-dc-superhero</t>
  </si>
  <si>
    <t xml:space="preserve">/products/wall-art/batman-dc-superhero.svg</t>
  </si>
  <si>
    <t xml:space="preserve">Kakashi</t>
  </si>
  <si>
    <t xml:space="preserve">kaico</t>
  </si>
  <si>
    <t xml:space="preserve">gid://shopify/Product/7449011519587</t>
  </si>
  <si>
    <t xml:space="preserve">12x18 inches @ 5000.00 (17) | 16x24 inches @ 5600.00 (15)</t>
  </si>
  <si>
    <t xml:space="preserve">gid://shopify/ProductVariant/42000432365667</t>
  </si>
  <si>
    <t xml:space="preserve">https://cdn.shopify.com/s/files/1/0572/0077/1171/files/Kakashi.png?v=1756409856</t>
  </si>
  <si>
    <t xml:space="preserve">wall-kakashi</t>
  </si>
  <si>
    <t xml:space="preserve">/products/wall-art/kakashi.svg</t>
  </si>
  <si>
    <t xml:space="preserve">Khaleesi</t>
  </si>
  <si>
    <t xml:space="preserve">khaleesi</t>
  </si>
  <si>
    <t xml:space="preserve">gid://shopify/Product/7449016205411</t>
  </si>
  <si>
    <t xml:space="preserve">12x18 inches @ 5000.00 (18) | 16x24 inches @ 5600.00 (18)</t>
  </si>
  <si>
    <t xml:space="preserve">gid://shopify/ProductVariant/42000439083107</t>
  </si>
  <si>
    <t xml:space="preserve">https://cdn.shopify.com/s/files/1/0572/0077/1171/files/Khaleesi_f6217baf-5815-4dfa-9e9f-853ca1ade437.png?v=1756409918</t>
  </si>
  <si>
    <t xml:space="preserve">wall-khaleesi</t>
  </si>
  <si>
    <t xml:space="preserve">/products/wall-art/khaleesi.svg</t>
  </si>
  <si>
    <t xml:space="preserve">League of Legends</t>
  </si>
  <si>
    <t xml:space="preserve">league-of-legends</t>
  </si>
  <si>
    <t xml:space="preserve">gid://shopify/Product/7449022267491</t>
  </si>
  <si>
    <t xml:space="preserve">2D Wall-Art | Comics and Superheroes</t>
  </si>
  <si>
    <t xml:space="preserve">20x24 inches @ 3799.00 (18)</t>
  </si>
  <si>
    <t xml:space="preserve">gid://shopify/ProductVariant/42000451633251</t>
  </si>
  <si>
    <t xml:space="preserve">https://cdn.shopify.com/s/files/1/0572/0077/1171/files/League_of_Legends.png?v=1756410146</t>
  </si>
  <si>
    <t xml:space="preserve">wall-league-of-legends</t>
  </si>
  <si>
    <t xml:space="preserve">/products/wall-art/league-of-legends.svg</t>
  </si>
  <si>
    <t xml:space="preserve">Venom</t>
  </si>
  <si>
    <t xml:space="preserve">venom</t>
  </si>
  <si>
    <t xml:space="preserve">gid://shopify/Product/7449030033507</t>
  </si>
  <si>
    <t xml:space="preserve">12x18 inches @ 5000.00 (9) | 18x24 inches @ 5600.00 (9)</t>
  </si>
  <si>
    <t xml:space="preserve">gid://shopify/ProductVariant/42000465002595</t>
  </si>
  <si>
    <t xml:space="preserve">https://cdn.shopify.com/s/files/1/0572/0077/1171/files/Venom.png?v=1756496674</t>
  </si>
  <si>
    <t xml:space="preserve">wall-venom</t>
  </si>
  <si>
    <t xml:space="preserve">/products/wall-art/venom.svg</t>
  </si>
  <si>
    <t xml:space="preserve">Marvel</t>
  </si>
  <si>
    <t xml:space="preserve">marvel</t>
  </si>
  <si>
    <t xml:space="preserve">gid://shopify/Product/7449080725603</t>
  </si>
  <si>
    <t xml:space="preserve">2D Wall-Art | Comics and Superheroes | Movies</t>
  </si>
  <si>
    <t xml:space="preserve">18x18 inches @ 2999.00 (9) | 24x24 inches @ 3999.00 (9)</t>
  </si>
  <si>
    <t xml:space="preserve">gid://shopify/ProductVariant/42000535617635</t>
  </si>
  <si>
    <t xml:space="preserve">https://cdn.shopify.com/s/files/1/0572/0077/1171/files/Marvel_39624ac3-f3c3-4b05-8847-56f3629f043e.png?v=1756411962</t>
  </si>
  <si>
    <t xml:space="preserve">wall-marvel</t>
  </si>
  <si>
    <t xml:space="preserve">/products/wall-art/marvel.svg</t>
  </si>
  <si>
    <t xml:space="preserve">Messi</t>
  </si>
  <si>
    <t xml:space="preserve">messi</t>
  </si>
  <si>
    <t xml:space="preserve">gid://shopify/Product/7449082069091</t>
  </si>
  <si>
    <t xml:space="preserve">12x16 inches @ 2499.00 (8) | 18x24 inches @ 5600.00 (9)</t>
  </si>
  <si>
    <t xml:space="preserve">gid://shopify/ProductVariant/42000538763363</t>
  </si>
  <si>
    <t xml:space="preserve">https://cdn.shopify.com/s/files/1/0572/0077/1171/files/Messi_faf7615e-1d8d-4ed1-9db3-9c423852b244.png?v=1756412016</t>
  </si>
  <si>
    <t xml:space="preserve">wall-messi</t>
  </si>
  <si>
    <t xml:space="preserve">/products/wall-art/messi.svg</t>
  </si>
  <si>
    <t xml:space="preserve">MK4 Toyota</t>
  </si>
  <si>
    <t xml:space="preserve">mk4-toyota</t>
  </si>
  <si>
    <t xml:space="preserve">gid://shopify/Product/7449083576419</t>
  </si>
  <si>
    <t xml:space="preserve">2D Wall-Art | Cars</t>
  </si>
  <si>
    <t xml:space="preserve">12x18 inches @ 5000.00 (3) | 16x24 inches @ 5600.00 (23)</t>
  </si>
  <si>
    <t xml:space="preserve">gid://shopify/ProductVariant/42000548331619</t>
  </si>
  <si>
    <t xml:space="preserve">https://cdn.shopify.com/s/files/1/0572/0077/1171/files/MK4_Toyota.png?v=1756412148</t>
  </si>
  <si>
    <t xml:space="preserve">wall-mk4-toyota</t>
  </si>
  <si>
    <t xml:space="preserve">/products/wall-art/mk4-toyota.svg</t>
  </si>
  <si>
    <t xml:space="preserve">Ninja</t>
  </si>
  <si>
    <t xml:space="preserve">ninja</t>
  </si>
  <si>
    <t xml:space="preserve">gid://shopify/Product/7449088819299</t>
  </si>
  <si>
    <t xml:space="preserve">12x16 inches @ 2499.00 (1) | 18x24 inches @ 5600.00 (0)</t>
  </si>
  <si>
    <t xml:space="preserve">gid://shopify/ProductVariant/42000561537123</t>
  </si>
  <si>
    <t xml:space="preserve">https://cdn.shopify.com/s/files/1/0572/0077/1171/files/Ninja_d7013be8-20c7-4fa5-aea5-0ed27351afd1.png?v=1756413834</t>
  </si>
  <si>
    <t xml:space="preserve">wall-ninja</t>
  </si>
  <si>
    <t xml:space="preserve">/products/wall-art/ninja.svg</t>
  </si>
  <si>
    <t xml:space="preserve">Nissan gtr34</t>
  </si>
  <si>
    <t xml:space="preserve">nissan</t>
  </si>
  <si>
    <t xml:space="preserve">gid://shopify/Product/7449090719843</t>
  </si>
  <si>
    <t xml:space="preserve">16x18 inches @ 2499.00 (98) | 18x24 inches @ 5600.00 (7)</t>
  </si>
  <si>
    <t xml:space="preserve">gid://shopify/ProductVariant/42000563732579</t>
  </si>
  <si>
    <t xml:space="preserve">https://cdn.shopify.com/s/files/1/0572/0077/1171/files/Nissan_gtr34.png?v=1756414022</t>
  </si>
  <si>
    <t xml:space="preserve">wall-nissan</t>
  </si>
  <si>
    <t xml:space="preserve">/products/wall-art/nissan.svg</t>
  </si>
  <si>
    <t xml:space="preserve">Jojo</t>
  </si>
  <si>
    <t xml:space="preserve">phoenix</t>
  </si>
  <si>
    <t xml:space="preserve">gid://shopify/Product/7449092292707</t>
  </si>
  <si>
    <t xml:space="preserve">2D Wall-Art | Comics and Superheroes | Movies | Anime/Manga- 2D</t>
  </si>
  <si>
    <t xml:space="preserve">6x12 inches @ 1999.00 (9) | 12x24 inches @ 2999.00 (9)</t>
  </si>
  <si>
    <t xml:space="preserve">gid://shopify/ProductVariant/42000567042147</t>
  </si>
  <si>
    <t xml:space="preserve">https://cdn.shopify.com/s/files/1/0572/0077/1171/files/Jojo.png?v=1756498036</t>
  </si>
  <si>
    <t xml:space="preserve">wall-jojo</t>
  </si>
  <si>
    <t xml:space="preserve">/products/wall-art/jojo.svg</t>
  </si>
  <si>
    <t xml:space="preserve">Ronaldo</t>
  </si>
  <si>
    <t xml:space="preserve">ronaldo</t>
  </si>
  <si>
    <t xml:space="preserve">gid://shopify/Product/7449101107299</t>
  </si>
  <si>
    <t xml:space="preserve">2D Wall-Art | Personalities | Ronaldo</t>
  </si>
  <si>
    <t xml:space="preserve">12x12 inches @ 1799.00 (7) | 18x18 inches @ 2699.00 (8) | 24x24 inches @ 3499.00 (7)</t>
  </si>
  <si>
    <t xml:space="preserve">gid://shopify/ProductVariant/42000583819363</t>
  </si>
  <si>
    <t xml:space="preserve">https://cdn.shopify.com/s/files/1/0572/0077/1171/files/Ronaldo_d8e8bb20-1d40-432f-8113-a4bdfbe1bf02.png?v=1756494528</t>
  </si>
  <si>
    <t xml:space="preserve">wall-ronaldo</t>
  </si>
  <si>
    <t xml:space="preserve">/products/wall-art/ronaldo.svg</t>
  </si>
  <si>
    <t xml:space="preserve">Spiderman</t>
  </si>
  <si>
    <t xml:space="preserve">spiderman</t>
  </si>
  <si>
    <t xml:space="preserve">gid://shopify/Product/7449103007843</t>
  </si>
  <si>
    <t xml:space="preserve">12x12 inches @ 1999.00 (9) | 18x18 inches @ 2999.00 (9) | 24x24 inches @ 3999.00 (0)</t>
  </si>
  <si>
    <t xml:space="preserve">gid://shopify/ProductVariant/42000589029475</t>
  </si>
  <si>
    <t xml:space="preserve">https://cdn.shopify.com/s/files/1/0572/0077/1171/files/Spiderman.png?v=1756495559</t>
  </si>
  <si>
    <t xml:space="preserve">wall-spiderman</t>
  </si>
  <si>
    <t xml:space="preserve">/products/wall-art/spiderman.svg</t>
  </si>
  <si>
    <t xml:space="preserve">Gojo</t>
  </si>
  <si>
    <t xml:space="preserve">symbiotic-energy-of-venom</t>
  </si>
  <si>
    <t xml:space="preserve">gid://shopify/Product/7449105203299</t>
  </si>
  <si>
    <t xml:space="preserve">2D Wall-Art | Anime/Manga | Comics and Superheroes | Anime/Manga- 2D</t>
  </si>
  <si>
    <t xml:space="preserve">12x18 inches @ 5000.00 (9) | 16x24 inches @ 5600.00 (9)</t>
  </si>
  <si>
    <t xml:space="preserve">gid://shopify/ProductVariant/42000595288163</t>
  </si>
  <si>
    <t xml:space="preserve">https://cdn.shopify.com/s/files/1/0572/0077/1171/files/Gojo.png?v=1756407440</t>
  </si>
  <si>
    <t xml:space="preserve">wall-gojo</t>
  </si>
  <si>
    <t xml:space="preserve">/products/wall-art/gojo.svg</t>
  </si>
  <si>
    <t xml:space="preserve">Totoro and Mei</t>
  </si>
  <si>
    <t xml:space="preserve">totoro-and-mei</t>
  </si>
  <si>
    <t xml:space="preserve">gid://shopify/Product/7449107398755</t>
  </si>
  <si>
    <t xml:space="preserve">gid://shopify/ProductVariant/42000602595427</t>
  </si>
  <si>
    <t xml:space="preserve">https://cdn.shopify.com/s/files/1/0572/0077/1171/files/Totoro_and_Mei.png?v=1756496342</t>
  </si>
  <si>
    <t xml:space="preserve">wall-totoro-and-mei</t>
  </si>
  <si>
    <t xml:space="preserve">/products/wall-art/totoro-and-mei.svg</t>
  </si>
  <si>
    <t xml:space="preserve">Wanda Vision</t>
  </si>
  <si>
    <t xml:space="preserve">wanda-vision</t>
  </si>
  <si>
    <t xml:space="preserve">gid://shopify/Product/7458801483875</t>
  </si>
  <si>
    <t xml:space="preserve">Comics and Superheroes | Movies | Digital Art | Comics/Superheroes/Movies- Digital Art</t>
  </si>
  <si>
    <t xml:space="preserve">6x9 inches @ 3500.00 (99) | 8x12 inches @ 4200.00 (0) | 12x18 inches @ 5000.00 (999) | 18x24 inches @ 5600.00 (1098)</t>
  </si>
  <si>
    <t xml:space="preserve">gid://shopify/ProductVariant/42125685391459</t>
  </si>
  <si>
    <t xml:space="preserve">https://cdn.shopify.com/s/files/1/0572/0077/1171/files/Artboard6_2c35f8b9-f96f-494b-b921-83e0089c0d92.png?v=1756496707</t>
  </si>
  <si>
    <t xml:space="preserve">2024-05-23</t>
  </si>
  <si>
    <t xml:space="preserve">Batman Portrait</t>
  </si>
  <si>
    <t xml:space="preserve">batman-portrait</t>
  </si>
  <si>
    <t xml:space="preserve">gid://shopify/Product/7460107649123</t>
  </si>
  <si>
    <t xml:space="preserve">6x9 inches @ 3500.00 (999) | 8x12 inches @ 4200.00 (0) | 12x18 inches @ 5000.00 (999) | 18x24 inches @ 5600.00 (999)</t>
  </si>
  <si>
    <t xml:space="preserve">gid://shopify/ProductVariant/42125505822819</t>
  </si>
  <si>
    <t xml:space="preserve">https://cdn.shopify.com/s/files/1/0572/0077/1171/files/BatmanPortrait.png?v=1756498277</t>
  </si>
  <si>
    <t xml:space="preserve">Batman Ink Portrait</t>
  </si>
  <si>
    <t xml:space="preserve">batman-ink-portrait</t>
  </si>
  <si>
    <t xml:space="preserve">gid://shopify/Product/7460151427171</t>
  </si>
  <si>
    <t xml:space="preserve">gid://shopify/ProductVariant/42125504774243</t>
  </si>
  <si>
    <t xml:space="preserve">https://cdn.shopify.com/s/files/1/0572/0077/1171/files/BatmanInkPortrait.png?v=1756498245</t>
  </si>
  <si>
    <t xml:space="preserve">Ironman</t>
  </si>
  <si>
    <t xml:space="preserve">ironman</t>
  </si>
  <si>
    <t xml:space="preserve">gid://shopify/Product/7460158406755</t>
  </si>
  <si>
    <t xml:space="preserve">6x9 inches @ 3500.00 (99) | 8x12 inches @ 4200.00 (0) | 12x18 inches @ 5000.00 (98) | 16x24 inches @ 5600.00 (99)</t>
  </si>
  <si>
    <t xml:space="preserve">gid://shopify/ProductVariant/42125642596451</t>
  </si>
  <si>
    <t xml:space="preserve">https://cdn.shopify.com/s/files/1/0572/0077/1171/files/Ironman.png?v=1756546203</t>
  </si>
  <si>
    <t xml:space="preserve">digital-ironman</t>
  </si>
  <si>
    <t xml:space="preserve">/products/digital/final/ironman.jpg</t>
  </si>
  <si>
    <t xml:space="preserve">Black Panther</t>
  </si>
  <si>
    <t xml:space="preserve">black-panther</t>
  </si>
  <si>
    <t xml:space="preserve">gid://shopify/Product/7460196745315</t>
  </si>
  <si>
    <t xml:space="preserve">Movies | Digital Art | Comics/Superheroes/Movies- Digital Art</t>
  </si>
  <si>
    <t xml:space="preserve">6x9 inches @ 3500.00 (99) | 8x12 inches @ 4200.00 (0) | 12x 18 inches @ 5000.00 (99) | 18x24 inches @ 5600.00 (99)</t>
  </si>
  <si>
    <t xml:space="preserve">gid://shopify/ProductVariant/42125509689443</t>
  </si>
  <si>
    <t xml:space="preserve">https://cdn.shopify.com/s/files/1/0572/0077/1171/files/BlackPanther.png?v=1756498429</t>
  </si>
  <si>
    <t xml:space="preserve">Thor</t>
  </si>
  <si>
    <t xml:space="preserve">thor</t>
  </si>
  <si>
    <t xml:space="preserve">gid://shopify/Product/7460203102307</t>
  </si>
  <si>
    <t xml:space="preserve">Movies</t>
  </si>
  <si>
    <t xml:space="preserve">gid://shopify/ProductVariant/42125681328227</t>
  </si>
  <si>
    <t xml:space="preserve">https://cdn.shopify.com/s/files/1/0572/0077/1171/files/Artboard6_69d49070-6c07-4357-a0bf-37dfab6c2eb4.png?v=1756496168</t>
  </si>
  <si>
    <t xml:space="preserve">Spiderman+Venom</t>
  </si>
  <si>
    <t xml:space="preserve">spiderman-venom</t>
  </si>
  <si>
    <t xml:space="preserve">gid://shopify/Product/7460207558755</t>
  </si>
  <si>
    <t xml:space="preserve">gid://shopify/ProductVariant/42125672120419</t>
  </si>
  <si>
    <t xml:space="preserve">https://cdn.shopify.com/s/files/1/0572/0077/1171/files/Artboard9_715581d4-c4cd-45ae-ac49-45a385f230f9.png?v=1756495610</t>
  </si>
  <si>
    <t xml:space="preserve">Spiderman+Venom Variant 2</t>
  </si>
  <si>
    <t xml:space="preserve">spiderman-venom-2</t>
  </si>
  <si>
    <t xml:space="preserve">gid://shopify/Product/7460210016355</t>
  </si>
  <si>
    <t xml:space="preserve">Comics and Superheroes | Movies | Comics/Superheroes/Movies- Digital Art</t>
  </si>
  <si>
    <t xml:space="preserve">gid://shopify/ProductVariant/42125673136227</t>
  </si>
  <si>
    <t xml:space="preserve">https://cdn.shopify.com/s/files/1/0572/0077/1171/files/Artboard9_46187ee0-ff0b-4493-8b8b-0cd57de3834a.png?v=1756495655</t>
  </si>
  <si>
    <t xml:space="preserve">Spiderman+Venom 3</t>
  </si>
  <si>
    <t xml:space="preserve">spiderman-venom-3</t>
  </si>
  <si>
    <t xml:space="preserve">gid://shopify/Product/7460214276195</t>
  </si>
  <si>
    <t xml:space="preserve">gid://shopify/ProductVariant/42125675135075</t>
  </si>
  <si>
    <t xml:space="preserve">https://cdn.shopify.com/s/files/1/0572/0077/1171/files/Artboard6_655818d2-1225-451e-8d3d-b99ff598b07b.png?v=1756495630</t>
  </si>
  <si>
    <t xml:space="preserve">Zenitsu Lightening Breath</t>
  </si>
  <si>
    <t xml:space="preserve">new-1</t>
  </si>
  <si>
    <t xml:space="preserve">gid://shopify/Product/7496131412067</t>
  </si>
  <si>
    <t xml:space="preserve">Anime/Manga | Digital Art | Anime/Manga- Digital Art</t>
  </si>
  <si>
    <t xml:space="preserve">6x9 inches @ 3500.00 (0) | 8x12 inches @ 4200.00 (99) | 12x18 inches @ 5000.00 (99) | 16x24 inches @ 5600.00 (99)</t>
  </si>
  <si>
    <t xml:space="preserve">gid://shopify/ProductVariant/43540208287843</t>
  </si>
  <si>
    <t xml:space="preserve">https://cdn.shopify.com/s/files/1/0572/0077/1171/files/Zenitsu_Lightening_Breath.png?v=1756497492</t>
  </si>
  <si>
    <t xml:space="preserve">2024-06-03</t>
  </si>
  <si>
    <t xml:space="preserve">new-2</t>
  </si>
  <si>
    <t xml:space="preserve">gid://shopify/Product/7496307179619</t>
  </si>
  <si>
    <t xml:space="preserve">6x9 inches @ 3500.00 (99) | 8x12 inches @ 4200.00 (0) | 12x18 inches @ 5000.00 (99) | 16x24 inches @ 5600.00 (98)</t>
  </si>
  <si>
    <t xml:space="preserve">gid://shopify/ProductVariant/42125646856291</t>
  </si>
  <si>
    <t xml:space="preserve">https://cdn.shopify.com/s/files/1/0572/0077/1171/files/Artboard9_1ea11bf1-0ead-47c6-9395-9441b98620ec.png?v=1756409511</t>
  </si>
  <si>
    <t xml:space="preserve">Water Droplet</t>
  </si>
  <si>
    <t xml:space="preserve">new-3</t>
  </si>
  <si>
    <t xml:space="preserve">gid://shopify/Product/7496315699299</t>
  </si>
  <si>
    <t xml:space="preserve">6x9 inches @ 3500.00 (999) | 8x12 inches @ 4200.00 (0) | 12x18 inches @ 5000.00 (99) | 18x24 inches @ 5600.00 (99)</t>
  </si>
  <si>
    <t xml:space="preserve">gid://shopify/ProductVariant/42125694074979</t>
  </si>
  <si>
    <t xml:space="preserve">https://cdn.shopify.com/s/files/1/0572/0077/1171/files/WaterDroplet.png?v=1756575613</t>
  </si>
  <si>
    <t xml:space="preserve">Neon Spiderman</t>
  </si>
  <si>
    <t xml:space="preserve">new-4</t>
  </si>
  <si>
    <t xml:space="preserve">gid://shopify/Product/7496326250595</t>
  </si>
  <si>
    <t xml:space="preserve">6x9 inches @ 3500.00 (99) | 8x12 inches @ 4200.00 (0) | 12x18 inches @ 5000.00 (999) | 18x24 inches @ 5600.00 (99)</t>
  </si>
  <si>
    <t xml:space="preserve">gid://shopify/ProductVariant/42125661995107</t>
  </si>
  <si>
    <t xml:space="preserve">https://cdn.shopify.com/s/files/1/0572/0077/1171/files/Front_1330c7ad-d008-471b-a1ee-9df19a6a837d.png?v=1756573999</t>
  </si>
  <si>
    <t xml:space="preserve">Neon Black Panther</t>
  </si>
  <si>
    <t xml:space="preserve">black-panther-1</t>
  </si>
  <si>
    <t xml:space="preserve">gid://shopify/Product/7498305765475</t>
  </si>
  <si>
    <t xml:space="preserve">6x9 inches @ 3500.00 (190) | 8x12 inches @ 4200.00 (0) | 12x18 inches @ 5000.00 (198) | 16x24 inches @ 5600.00 (198)</t>
  </si>
  <si>
    <t xml:space="preserve">gid://shopify/ProductVariant/42125511819363</t>
  </si>
  <si>
    <t xml:space="preserve">https://cdn.shopify.com/s/files/1/0572/0077/1171/files/NeonBlackPanther.png?v=1756573904</t>
  </si>
  <si>
    <t xml:space="preserve">2024-06-04</t>
  </si>
  <si>
    <t xml:space="preserve">digital-neon-black-panther</t>
  </si>
  <si>
    <t xml:space="preserve">/products/digital/final/neon-black-panther.png</t>
  </si>
  <si>
    <t xml:space="preserve">Giyu and Shinobu</t>
  </si>
  <si>
    <t xml:space="preserve">giyu-and-shinobu</t>
  </si>
  <si>
    <t xml:space="preserve">gid://shopify/Product/7498311368803</t>
  </si>
  <si>
    <t xml:space="preserve">Anime/Manga | Anime/Manga- Digital Art</t>
  </si>
  <si>
    <t xml:space="preserve">6x9 inches @ 3500.00 (0) | 8x12 inches @ 4200.00 (99) | 12x18 inches @ 5000.00 (99) | 18x24 inches @ 5600.00 (99)</t>
  </si>
  <si>
    <t xml:space="preserve">gid://shopify/ProductVariant/43540166180963</t>
  </si>
  <si>
    <t xml:space="preserve">https://cdn.shopify.com/s/files/1/0572/0077/1171/files/Giyu_and_Shinobu.png?v=1756407230</t>
  </si>
  <si>
    <t xml:space="preserve">Demonic Tanjiro</t>
  </si>
  <si>
    <t xml:space="preserve">demonic-tanjiro</t>
  </si>
  <si>
    <t xml:space="preserve">gid://shopify/Product/7498321756259</t>
  </si>
  <si>
    <t xml:space="preserve">6x9 inches @ 3500.00 (0) | 8x12 inches @ 4200.00 (99) | 12x18 inches @ 5000.00 (99) | 18x24 inches @ 5600.00 (999)</t>
  </si>
  <si>
    <t xml:space="preserve">gid://shopify/ProductVariant/43540158939235</t>
  </si>
  <si>
    <t xml:space="preserve">https://cdn.shopify.com/s/files/1/0572/0077/1171/files/DemonicTanjiro_e87348ce-be06-4be5-83ad-48a99a96f6dc.png?v=1756498594</t>
  </si>
  <si>
    <t xml:space="preserve">Tanjiro Water Breathing</t>
  </si>
  <si>
    <t xml:space="preserve">tanjiro-water-breathing</t>
  </si>
  <si>
    <t xml:space="preserve">gid://shopify/Product/7498328178787</t>
  </si>
  <si>
    <t xml:space="preserve">gid://shopify/ProductVariant/43540156186723</t>
  </si>
  <si>
    <t xml:space="preserve">https://cdn.shopify.com/s/files/1/0572/0077/1171/files/TanjiroWaterBreathing.png?v=1756575517</t>
  </si>
  <si>
    <t xml:space="preserve">Rengoku Demon Slayer</t>
  </si>
  <si>
    <t xml:space="preserve">rengoku-demon-slayer</t>
  </si>
  <si>
    <t xml:space="preserve">gid://shopify/Product/7498338140259</t>
  </si>
  <si>
    <t xml:space="preserve">gid://shopify/ProductVariant/43540155433059</t>
  </si>
  <si>
    <t xml:space="preserve">https://cdn.shopify.com/s/files/1/0572/0077/1171/files/RengokuDemonSlayer.jpg?v=1717500406</t>
  </si>
  <si>
    <t xml:space="preserve">digital-rengoku-demon-slayer</t>
  </si>
  <si>
    <t xml:space="preserve">/products/digital/final/rengoku-demon-slayer.jpg</t>
  </si>
  <si>
    <t xml:space="preserve">Zenitsu</t>
  </si>
  <si>
    <t xml:space="preserve">zenitsu</t>
  </si>
  <si>
    <t xml:space="preserve">gid://shopify/Product/7498343415907</t>
  </si>
  <si>
    <t xml:space="preserve">Anime/Manga | Digital Art | Best Sellers | Anime/Manga- Digital Art</t>
  </si>
  <si>
    <t xml:space="preserve">gid://shopify/ProductVariant/43540154515555</t>
  </si>
  <si>
    <t xml:space="preserve">https://cdn.shopify.com/s/files/1/0572/0077/1171/files/Zenitsu.png?v=1756575813</t>
  </si>
  <si>
    <t xml:space="preserve">Shinobu Demon Slayer</t>
  </si>
  <si>
    <t xml:space="preserve">shinobu-demon-slayer</t>
  </si>
  <si>
    <t xml:space="preserve">gid://shopify/Product/7498368057443</t>
  </si>
  <si>
    <t xml:space="preserve">gid://shopify/ProductVariant/43540150976611</t>
  </si>
  <si>
    <t xml:space="preserve">https://cdn.shopify.com/s/files/1/0572/0077/1171/files/ShinobuDemonSlayer.png?v=1756575377</t>
  </si>
  <si>
    <t xml:space="preserve">Shinobu Demon Slayer Variant 2</t>
  </si>
  <si>
    <t xml:space="preserve">shinobu-demon-slayer-2</t>
  </si>
  <si>
    <t xml:space="preserve">gid://shopify/Product/7498386964579</t>
  </si>
  <si>
    <t xml:space="preserve">gid://shopify/ProductVariant/43540150878307</t>
  </si>
  <si>
    <t xml:space="preserve">https://cdn.shopify.com/s/files/1/0572/0077/1171/files/ShinobuDemonSlayerVariant2.png?v=1756575414</t>
  </si>
  <si>
    <t xml:space="preserve">Giyu Demon Slayer</t>
  </si>
  <si>
    <t xml:space="preserve">giyu-demon-slayer</t>
  </si>
  <si>
    <t xml:space="preserve">gid://shopify/Product/7498397941859</t>
  </si>
  <si>
    <t xml:space="preserve">gid://shopify/ProductVariant/43540150485091</t>
  </si>
  <si>
    <t xml:space="preserve">https://cdn.shopify.com/s/files/1/0572/0077/1171/files/GiyuDemonSlayer.png?v=1756498898</t>
  </si>
  <si>
    <t xml:space="preserve">Dragonball Super</t>
  </si>
  <si>
    <t xml:space="preserve">dragonball-super</t>
  </si>
  <si>
    <t xml:space="preserve">gid://shopify/Product/7498406625379</t>
  </si>
  <si>
    <t xml:space="preserve">gid://shopify/ProductVariant/43540150222947</t>
  </si>
  <si>
    <t xml:space="preserve">https://cdn.shopify.com/s/files/1/0572/0077/1171/files/DragonballSuper.png?v=1756498629</t>
  </si>
  <si>
    <t xml:space="preserve">Neon Masked Man</t>
  </si>
  <si>
    <t xml:space="preserve">neon-masked-man</t>
  </si>
  <si>
    <t xml:space="preserve">gid://shopify/Product/7498413736035</t>
  </si>
  <si>
    <t xml:space="preserve">gid://shopify/ProductVariant/42125661110371</t>
  </si>
  <si>
    <t xml:space="preserve">https://cdn.shopify.com/s/files/1/0572/0077/1171/files/Neon_Masked_Man.png?v=1756413748</t>
  </si>
  <si>
    <t xml:space="preserve">Money Heist</t>
  </si>
  <si>
    <t xml:space="preserve">money-heist</t>
  </si>
  <si>
    <t xml:space="preserve">gid://shopify/Product/7498420060259</t>
  </si>
  <si>
    <t xml:space="preserve">gid://shopify/ProductVariant/42125656588387</t>
  </si>
  <si>
    <t xml:space="preserve">https://cdn.shopify.com/s/files/1/0572/0077/1171/files/MoneyHeist.png?v=1756573559</t>
  </si>
  <si>
    <t xml:space="preserve">Joker Dark Knight</t>
  </si>
  <si>
    <t xml:space="preserve">joker-dark-knight</t>
  </si>
  <si>
    <t xml:space="preserve">gid://shopify/Product/7498425237603</t>
  </si>
  <si>
    <t xml:space="preserve">6x9 inches @ 3500.00 (198) | 8x12 inches @ 4200.00 (-1) | 12x18 inches @ 5000.00 (198) | 16x24 inches @ 5600.00 (108)</t>
  </si>
  <si>
    <t xml:space="preserve">gid://shopify/ProductVariant/42125647904867</t>
  </si>
  <si>
    <t xml:space="preserve">https://cdn.shopify.com/s/files/1/0572/0077/1171/files/Artboard6_9236840d-be62-494e-b407-48f0ab9d2fc8.png?v=1756409595</t>
  </si>
  <si>
    <t xml:space="preserve">digital-joker-dark-knight</t>
  </si>
  <si>
    <t xml:space="preserve">/products/digital/final/joker-dark-knight.png</t>
  </si>
  <si>
    <t xml:space="preserve">Joker Variant 2</t>
  </si>
  <si>
    <t xml:space="preserve">joker-2</t>
  </si>
  <si>
    <t xml:space="preserve">gid://shopify/Product/7498431365219</t>
  </si>
  <si>
    <t xml:space="preserve">6x9 inches @ 3500.00 (0) | 8x12 inches @ 4200.00 (0) | 12x18 inches @ 5000.00 (0) | 16x24 inches @ 5600.00 (0)</t>
  </si>
  <si>
    <t xml:space="preserve">gid://shopify/ProductVariant/42125706461283</t>
  </si>
  <si>
    <t xml:space="preserve">https://cdn.shopify.com/s/files/1/0572/0077/1171/files/Artboard9_273e7b46-f8eb-4c5c-871b-61edc310293a.png?v=1756409609</t>
  </si>
  <si>
    <t xml:space="preserve">Sharingan (Naruto)</t>
  </si>
  <si>
    <t xml:space="preserve">sharingan-naruto</t>
  </si>
  <si>
    <t xml:space="preserve">gid://shopify/Product/7498436149347</t>
  </si>
  <si>
    <t xml:space="preserve">Anime/Manga | Digital Art | Best Sellers | Anime/Manga- Digital Art | Naruto</t>
  </si>
  <si>
    <t xml:space="preserve">gid://shopify/ProductVariant/43540147896419</t>
  </si>
  <si>
    <t xml:space="preserve">https://cdn.shopify.com/s/files/1/0572/0077/1171/files/Sharingan_Naruto.png?v=1756575228</t>
  </si>
  <si>
    <t xml:space="preserve">messi-1</t>
  </si>
  <si>
    <t xml:space="preserve">gid://shopify/Product/7498440540259</t>
  </si>
  <si>
    <t xml:space="preserve">Personalities | Digital Art</t>
  </si>
  <si>
    <t xml:space="preserve">gid://shopify/ProductVariant/43540142456931</t>
  </si>
  <si>
    <t xml:space="preserve">https://cdn.shopify.com/s/files/1/0572/0077/1171/files/Messi_e9443e56-f33b-474b-bacc-93cec003a775.png?v=1756573466</t>
  </si>
  <si>
    <t xml:space="preserve">ronaldo-1</t>
  </si>
  <si>
    <t xml:space="preserve">gid://shopify/Product/7498444439651</t>
  </si>
  <si>
    <t xml:space="preserve">Personalities | Ronaldo</t>
  </si>
  <si>
    <t xml:space="preserve">6x9 inches @ 3500.00 (-1) | 8x12 inches @ 4200.00 (0) | 12x18 inches @ 5000.00 (0) | 18x24 inches @ 5600.00 (0)</t>
  </si>
  <si>
    <t xml:space="preserve">gid://shopify/ProductVariant/43540133642339</t>
  </si>
  <si>
    <t xml:space="preserve">https://cdn.shopify.com/s/files/1/0572/0077/1171/files/Front_281d3958-5122-4702-9de0-bf4b61c53f68.png?v=1752692638</t>
  </si>
  <si>
    <t xml:space="preserve">Ferrari</t>
  </si>
  <si>
    <t xml:space="preserve">ferrari</t>
  </si>
  <si>
    <t xml:space="preserve">gid://shopify/Product/7498452631651</t>
  </si>
  <si>
    <t xml:space="preserve">gid://shopify/ProductVariant/42125597278307</t>
  </si>
  <si>
    <t xml:space="preserve">https://cdn.shopify.com/s/files/1/0572/0077/1171/files/Ferrari_a3501a1a-5f9e-4883-8cac-74ac82b39dbf.png?v=1756498759</t>
  </si>
  <si>
    <t xml:space="preserve">digital-ferrari</t>
  </si>
  <si>
    <t xml:space="preserve">/products/digital/final/ferrari.jpg</t>
  </si>
  <si>
    <t xml:space="preserve">Drowning Alphabets Abstract</t>
  </si>
  <si>
    <t xml:space="preserve">abstract-calligraphy</t>
  </si>
  <si>
    <t xml:space="preserve">gid://shopify/Product/7498470064227</t>
  </si>
  <si>
    <t xml:space="preserve">6x9 inches @ 3500.00 (0) | 8x12 inches @ 4200.00 (-1) | 12x18 inches @ 5000.00 (0) | 16x24 inches @ 5600.00 (0)</t>
  </si>
  <si>
    <t xml:space="preserve">gid://shopify/ProductVariant/43540132397155</t>
  </si>
  <si>
    <t xml:space="preserve">https://cdn.shopify.com/s/files/1/0572/0077/1171/files/Drowning_Alphabets_Abstract.png?v=1756385479</t>
  </si>
  <si>
    <t xml:space="preserve">Orange Fish</t>
  </si>
  <si>
    <t xml:space="preserve">orange-fish</t>
  </si>
  <si>
    <t xml:space="preserve">gid://shopify/Product/7498481729635</t>
  </si>
  <si>
    <t xml:space="preserve">gid://shopify/ProductVariant/42125663240291</t>
  </si>
  <si>
    <t xml:space="preserve">https://cdn.shopify.com/s/files/1/0572/0077/1171/files/Orange_Fish.png?v=1756493324</t>
  </si>
  <si>
    <t xml:space="preserve">Blue Fish</t>
  </si>
  <si>
    <t xml:space="preserve">blue-fish</t>
  </si>
  <si>
    <t xml:space="preserve">gid://shopify/Product/7498491592803</t>
  </si>
  <si>
    <t xml:space="preserve">Animals | Modern Art | Digital Art</t>
  </si>
  <si>
    <t xml:space="preserve">gid://shopify/ProductVariant/42125523255395</t>
  </si>
  <si>
    <t xml:space="preserve">https://cdn.shopify.com/s/files/1/0572/0077/1171/files/Blue_Fish_8ae09546-f09d-41b3-8ea9-714046bfbc7c.png?v=1756329469</t>
  </si>
  <si>
    <t xml:space="preserve">Leopard Greyscale</t>
  </si>
  <si>
    <t xml:space="preserve">leopard-greyscale</t>
  </si>
  <si>
    <t xml:space="preserve">gid://shopify/Product/7498575249507</t>
  </si>
  <si>
    <t xml:space="preserve">gid://shopify/ProductVariant/42125652820067</t>
  </si>
  <si>
    <t xml:space="preserve">https://cdn.shopify.com/s/files/1/0572/0077/1171/files/LeopardGreyscale.png?v=1756547459</t>
  </si>
  <si>
    <t xml:space="preserve">digital-leopard-greyscale</t>
  </si>
  <si>
    <t xml:space="preserve">/products/digital/final/leopard-greyscale.jpg</t>
  </si>
  <si>
    <t xml:space="preserve">Cat Greyscale</t>
  </si>
  <si>
    <t xml:space="preserve">cat-greyscale</t>
  </si>
  <si>
    <t xml:space="preserve">gid://shopify/Product/7498580885603</t>
  </si>
  <si>
    <t xml:space="preserve">gid://shopify/ProductVariant/42125529743459</t>
  </si>
  <si>
    <t xml:space="preserve">https://cdn.shopify.com/s/files/1/0572/0077/1171/files/Cat_Greyscale.png?v=1756327788</t>
  </si>
  <si>
    <t xml:space="preserve">Cat Eyes</t>
  </si>
  <si>
    <t xml:space="preserve">cat-eyes</t>
  </si>
  <si>
    <t xml:space="preserve">gid://shopify/Product/7498590093411</t>
  </si>
  <si>
    <t xml:space="preserve">gid://shopify/ProductVariant/42125528596579</t>
  </si>
  <si>
    <t xml:space="preserve">https://cdn.shopify.com/s/files/1/0572/0077/1171/files/Cat_Eyes.png?v=1756327748</t>
  </si>
  <si>
    <t xml:space="preserve">wolf-2</t>
  </si>
  <si>
    <t xml:space="preserve">gid://shopify/Product/7538112266339</t>
  </si>
  <si>
    <t xml:space="preserve">gid://shopify/ProductVariant/43540127645795</t>
  </si>
  <si>
    <t xml:space="preserve">https://cdn.shopify.com/s/files/1/0572/0077/1171/files/Wolf_52c88869-2543-40cc-a436-21a2a1512d91.png?v=1756497162</t>
  </si>
  <si>
    <t xml:space="preserve">2024-06-24</t>
  </si>
  <si>
    <t xml:space="preserve">owl-1</t>
  </si>
  <si>
    <t xml:space="preserve">gid://shopify/Product/7538125865059</t>
  </si>
  <si>
    <t xml:space="preserve">gid://shopify/ProductVariant/43540127252579</t>
  </si>
  <si>
    <t xml:space="preserve">https://cdn.shopify.com/s/files/1/0572/0077/1171/files/Owl_a83cae3b-060a-4af0-ba30-731607bec5b8.png?v=1756493427</t>
  </si>
  <si>
    <t xml:space="preserve">Astronaut and Jellyfish</t>
  </si>
  <si>
    <t xml:space="preserve">astronaut-and-jellyfish</t>
  </si>
  <si>
    <t xml:space="preserve">gid://shopify/Product/7538199265379</t>
  </si>
  <si>
    <t xml:space="preserve">gid://shopify/ProductVariant/43540126597219</t>
  </si>
  <si>
    <t xml:space="preserve">https://cdn.shopify.com/s/files/1/0572/0077/1171/files/Astronaut_and_Jellyfish_968e1948-c066-49ef-b2b7-8b0f1e385fb2.png?v=1756328826</t>
  </si>
  <si>
    <t xml:space="preserve">Allah-1</t>
  </si>
  <si>
    <t xml:space="preserve">allah-1</t>
  </si>
  <si>
    <t xml:space="preserve">gid://shopify/Product/7742646780003</t>
  </si>
  <si>
    <t xml:space="preserve">2D Wall-Art | Islamic Art | Islamic Art- 2D</t>
  </si>
  <si>
    <t xml:space="preserve">6x9 inches @ 3500.00 (0) | 12x18 inches @ 4200.00 (0) | 16x24 inches @ 5600.00 (0)</t>
  </si>
  <si>
    <t xml:space="preserve">gid://shopify/ProductVariant/43210429661283</t>
  </si>
  <si>
    <t xml:space="preserve">https://cdn.shopify.com/s/files/1/0572/0077/1171/files/Front_62fe3497-9dde-4c29-953f-f7457f9d02a2.png?v=1740513560</t>
  </si>
  <si>
    <t xml:space="preserve">2025-02-25</t>
  </si>
  <si>
    <t xml:space="preserve">2025-10-07</t>
  </si>
  <si>
    <t xml:space="preserve">Allah-2</t>
  </si>
  <si>
    <t xml:space="preserve">allah-2</t>
  </si>
  <si>
    <t xml:space="preserve">gid://shopify/Product/7742647500899</t>
  </si>
  <si>
    <t xml:space="preserve">gid://shopify/ProductVariant/43210430087267</t>
  </si>
  <si>
    <t xml:space="preserve">https://cdn.shopify.com/s/files/1/0572/0077/1171/files/Front_c3da9d78-87b2-46d7-a810-5ccd38d0444e.png?v=1740513820</t>
  </si>
  <si>
    <t xml:space="preserve">Allah-3</t>
  </si>
  <si>
    <t xml:space="preserve">allah-3</t>
  </si>
  <si>
    <t xml:space="preserve">gid://shopify/Product/7742648352867</t>
  </si>
  <si>
    <t xml:space="preserve">gid://shopify/ProductVariant/43210431692899</t>
  </si>
  <si>
    <t xml:space="preserve">https://cdn.shopify.com/s/files/1/0572/0077/1171/files/Front_25f81931-7fb5-49f7-aff5-916f7b8f188c.png?v=1740513978</t>
  </si>
  <si>
    <t xml:space="preserve">Allah-4</t>
  </si>
  <si>
    <t xml:space="preserve">allah-4</t>
  </si>
  <si>
    <t xml:space="preserve">gid://shopify/Product/7742649925731</t>
  </si>
  <si>
    <t xml:space="preserve">gid://shopify/ProductVariant/43210431791203</t>
  </si>
  <si>
    <t xml:space="preserve">https://cdn.shopify.com/s/files/1/0572/0077/1171/files/Front_dbba6de5-e008-4433-abc1-027490505189.png?v=1740514193</t>
  </si>
  <si>
    <t xml:space="preserve">Allah-5</t>
  </si>
  <si>
    <t xml:space="preserve">allah-5</t>
  </si>
  <si>
    <t xml:space="preserve">gid://shopify/Product/7742650384483</t>
  </si>
  <si>
    <t xml:space="preserve">12x12 inches @ 4000.00 (0) | 18x18 inches @ 5200.00 (0) | 24x24 inches @ 5600.00 (0)</t>
  </si>
  <si>
    <t xml:space="preserve">gid://shopify/ProductVariant/43204441538659</t>
  </si>
  <si>
    <t xml:space="preserve">https://cdn.shopify.com/s/files/1/0572/0077/1171/files/Front_7d8f9d9a-6314-467e-aefd-00b98f81353b.png?v=1740514342</t>
  </si>
  <si>
    <t xml:space="preserve">Allah-6</t>
  </si>
  <si>
    <t xml:space="preserve">allah-6</t>
  </si>
  <si>
    <t xml:space="preserve">gid://shopify/Product/7742650712163</t>
  </si>
  <si>
    <t xml:space="preserve">2D Wall-Art | New Arrivals | Islamic Art | Islamic Art- 2D</t>
  </si>
  <si>
    <t xml:space="preserve">gid://shopify/ProductVariant/43204442423395</t>
  </si>
  <si>
    <t xml:space="preserve">https://cdn.shopify.com/s/files/1/0572/0077/1171/files/Front_f06129d9-b4ab-4f90-b7b7-54ca738c6f3c.png?v=1740514437</t>
  </si>
  <si>
    <t xml:space="preserve">Allah-7</t>
  </si>
  <si>
    <t xml:space="preserve">allah-7</t>
  </si>
  <si>
    <t xml:space="preserve">gid://shopify/Product/7742650908771</t>
  </si>
  <si>
    <t xml:space="preserve">12x12 inches @ 4000.00 (0) | 18x18 inches @ 5200.00 (0) | 24x24 inches @ 5800.00 (0)</t>
  </si>
  <si>
    <t xml:space="preserve">gid://shopify/ProductVariant/43204442751075</t>
  </si>
  <si>
    <t xml:space="preserve">https://cdn.shopify.com/s/files/1/0572/0077/1171/files/Front_fd96dc1c-41c1-4c27-bb3d-ae8febae98ca.png?v=1740514528</t>
  </si>
  <si>
    <t xml:space="preserve">Allah-8</t>
  </si>
  <si>
    <t xml:space="preserve">allah-8</t>
  </si>
  <si>
    <t xml:space="preserve">gid://shopify/Product/7742651760739</t>
  </si>
  <si>
    <t xml:space="preserve">12x16 inches @ 4200.00 (0) | 18x24 inches @ 5600.00 (0)</t>
  </si>
  <si>
    <t xml:space="preserve">gid://shopify/ProductVariant/43204447731811</t>
  </si>
  <si>
    <t xml:space="preserve">https://cdn.shopify.com/s/files/1/0572/0077/1171/files/Front_72cc48ab-c2d3-45c2-8b2a-28fc8af2bc6a.png?v=1740514657</t>
  </si>
  <si>
    <t xml:space="preserve">Allah-9</t>
  </si>
  <si>
    <t xml:space="preserve">allah-9</t>
  </si>
  <si>
    <t xml:space="preserve">gid://shopify/Product/7742655955043</t>
  </si>
  <si>
    <t xml:space="preserve">gid://shopify/ProductVariant/43204464476259</t>
  </si>
  <si>
    <t xml:space="preserve">https://cdn.shopify.com/s/files/1/0572/0077/1171/files/Front_194e9d67-f52e-4550-a4ad-e01ba48cfe77.png?v=1740515142</t>
  </si>
  <si>
    <t xml:space="preserve">Allah-10</t>
  </si>
  <si>
    <t xml:space="preserve">allah-10</t>
  </si>
  <si>
    <t xml:space="preserve">gid://shopify/Product/7742656938083</t>
  </si>
  <si>
    <t xml:space="preserve">12x16 inches @ 4200.00 (1000) | 18x24 inches @ 5600.00 (1000)</t>
  </si>
  <si>
    <t xml:space="preserve">gid://shopify/ProductVariant/43204466475107</t>
  </si>
  <si>
    <t xml:space="preserve">https://cdn.shopify.com/s/files/1/0572/0077/1171/files/Front_9b2e093a-2942-4bf0-8da8-f8f6ca29c113.png?v=1740515253</t>
  </si>
  <si>
    <t xml:space="preserve">Allah-11</t>
  </si>
  <si>
    <t xml:space="preserve">allah-11</t>
  </si>
  <si>
    <t xml:space="preserve">gid://shopify/Product/7742658150499</t>
  </si>
  <si>
    <t xml:space="preserve">6x18 inches @ 4000.00 (0) | 8x24 inches @ 4600.00 (0)</t>
  </si>
  <si>
    <t xml:space="preserve">gid://shopify/ProductVariant/43204468834403</t>
  </si>
  <si>
    <t xml:space="preserve">https://cdn.shopify.com/s/files/1/0572/0077/1171/files/Front_4e59fb6f-0a15-4a56-a128-dd1fb75090ea.png?v=1740515342</t>
  </si>
  <si>
    <t xml:space="preserve">Allah-12</t>
  </si>
  <si>
    <t xml:space="preserve">allah-12</t>
  </si>
  <si>
    <t xml:space="preserve">gid://shopify/Product/7742659100771</t>
  </si>
  <si>
    <t xml:space="preserve">6x12 inches @ 4000.00 (0) | 9x18 inches @ 5200.00 (0) | 12x24 inches @ 5800.00 (0)</t>
  </si>
  <si>
    <t xml:space="preserve">gid://shopify/ProductVariant/43204473782371</t>
  </si>
  <si>
    <t xml:space="preserve">https://cdn.shopify.com/s/files/1/0572/0077/1171/files/Front_b9ff8397-a95f-4893-ba9c-5db83267da5d.png?v=1740515478</t>
  </si>
  <si>
    <t xml:space="preserve">Allah-13</t>
  </si>
  <si>
    <t xml:space="preserve">allah-13</t>
  </si>
  <si>
    <t xml:space="preserve">gid://shopify/Product/7742659952739</t>
  </si>
  <si>
    <t xml:space="preserve">12x10 inches @ 4000.00 (1000) | 18x18 inches @ 5200.00 (1000) | 20x24 inches @ 5800.00 (1000)</t>
  </si>
  <si>
    <t xml:space="preserve">gid://shopify/ProductVariant/43204475093091</t>
  </si>
  <si>
    <t xml:space="preserve">https://cdn.shopify.com/s/files/1/0572/0077/1171/files/Front_3c1ecc74-d635-429a-af89-c667a378cf3a.png?v=1740515597</t>
  </si>
  <si>
    <t xml:space="preserve">Muhammad-1</t>
  </si>
  <si>
    <t xml:space="preserve">muhammad-1</t>
  </si>
  <si>
    <t xml:space="preserve">gid://shopify/Product/7742854004835</t>
  </si>
  <si>
    <t xml:space="preserve">6x9 inches @ 3500.00 (0) | 12x18 inches @ 5000.00 (0) | 16x24 inches @ 5600.00 (0)</t>
  </si>
  <si>
    <t xml:space="preserve">gid://shopify/ProductVariant/43210428350563</t>
  </si>
  <si>
    <t xml:space="preserve">https://cdn.shopify.com/s/files/1/0572/0077/1171/files/Front_113cd48f-acc3-4ce5-8872-7c2c44188eb4.png?v=1740550818</t>
  </si>
  <si>
    <t xml:space="preserve">2025-02-26</t>
  </si>
  <si>
    <t xml:space="preserve">Muhammad-2</t>
  </si>
  <si>
    <t xml:space="preserve">muhammad-2</t>
  </si>
  <si>
    <t xml:space="preserve">gid://shopify/Product/7742855184483</t>
  </si>
  <si>
    <t xml:space="preserve">gid://shopify/ProductVariant/43205222727779</t>
  </si>
  <si>
    <t xml:space="preserve">https://cdn.shopify.com/s/files/1/0572/0077/1171/files/Front_011c21c5-3462-4d80-a681-25d49c7782c4.png?v=1740550951</t>
  </si>
  <si>
    <t xml:space="preserve">Muhammad-3</t>
  </si>
  <si>
    <t xml:space="preserve">muhammad-3</t>
  </si>
  <si>
    <t xml:space="preserve">gid://shopify/Product/7742855970915</t>
  </si>
  <si>
    <t xml:space="preserve">gid://shopify/ProductVariant/43210429005923</t>
  </si>
  <si>
    <t xml:space="preserve">https://cdn.shopify.com/s/files/1/0572/0077/1171/files/Front_08bdf789-7d25-4b17-9be1-f865149d7de0.png?v=1740551102</t>
  </si>
  <si>
    <t xml:space="preserve">Muhammad-4</t>
  </si>
  <si>
    <t xml:space="preserve">muhammad-4</t>
  </si>
  <si>
    <t xml:space="preserve">gid://shopify/Product/7742856724579</t>
  </si>
  <si>
    <t xml:space="preserve">gid://shopify/ProductVariant/43205227642979</t>
  </si>
  <si>
    <t xml:space="preserve">https://cdn.shopify.com/s/files/1/0572/0077/1171/files/Front_ed1c0110-9561-41b8-ba9f-d4c103ebd0b2.png?v=1740551223</t>
  </si>
  <si>
    <t xml:space="preserve">Muhammad-5</t>
  </si>
  <si>
    <t xml:space="preserve">muhammad-5</t>
  </si>
  <si>
    <t xml:space="preserve">gid://shopify/Product/7742857117795</t>
  </si>
  <si>
    <t xml:space="preserve">gid://shopify/ProductVariant/43205228789859</t>
  </si>
  <si>
    <t xml:space="preserve">https://cdn.shopify.com/s/files/1/0572/0077/1171/files/Front_28edc844-5149-4d6d-b49c-a4de454a32c8.png?v=1740551342</t>
  </si>
  <si>
    <t xml:space="preserve">Muhammad-6</t>
  </si>
  <si>
    <t xml:space="preserve">muhammad-6</t>
  </si>
  <si>
    <t xml:space="preserve">gid://shopify/Product/7742857740387</t>
  </si>
  <si>
    <t xml:space="preserve">12x12 inches @ 4000.00 (999) | 18x18 inches @ 5200.00 (999) | 24x24 inches @ 5600.00 (999)</t>
  </si>
  <si>
    <t xml:space="preserve">gid://shopify/ProductVariant/43205230493795</t>
  </si>
  <si>
    <t xml:space="preserve">https://cdn.shopify.com/s/files/1/0572/0077/1171/files/Front_b726937f-1dbd-4a4f-a019-e1e20274a14b.png?v=1740551458</t>
  </si>
  <si>
    <t xml:space="preserve">Muhammad-7</t>
  </si>
  <si>
    <t xml:space="preserve">muhammad-7</t>
  </si>
  <si>
    <t xml:space="preserve">gid://shopify/Product/7742857904227</t>
  </si>
  <si>
    <t xml:space="preserve">gid://shopify/ProductVariant/43205231673443</t>
  </si>
  <si>
    <t xml:space="preserve">https://cdn.shopify.com/s/files/1/0572/0077/1171/files/Front_57ec334f-4463-41ae-8693-981370128506.png?v=1740551578</t>
  </si>
  <si>
    <t xml:space="preserve">Muhammad-8</t>
  </si>
  <si>
    <t xml:space="preserve">muhammad-8</t>
  </si>
  <si>
    <t xml:space="preserve">gid://shopify/Product/7742858199139</t>
  </si>
  <si>
    <t xml:space="preserve">12x16 inches @ 4000.00 (0) | 18x24 inches @ 5600.00 (0)</t>
  </si>
  <si>
    <t xml:space="preserve">gid://shopify/ProductVariant/43205232590947</t>
  </si>
  <si>
    <t xml:space="preserve">https://cdn.shopify.com/s/files/1/0572/0077/1171/files/Front_c8c9bf6d-ac3b-44bd-9392-1900da975a25.png?v=1740551678</t>
  </si>
  <si>
    <t xml:space="preserve">Muhammad-9</t>
  </si>
  <si>
    <t xml:space="preserve">muhammad-9</t>
  </si>
  <si>
    <t xml:space="preserve">gid://shopify/Product/7742858526819</t>
  </si>
  <si>
    <t xml:space="preserve">gid://shopify/ProductVariant/43205234393187</t>
  </si>
  <si>
    <t xml:space="preserve">https://cdn.shopify.com/s/files/1/0572/0077/1171/files/Front_737bdb1b-6623-4567-8c93-075f97eaff95.png?v=1740551789</t>
  </si>
  <si>
    <t xml:space="preserve">Muhammad-10</t>
  </si>
  <si>
    <t xml:space="preserve">muhammad-10</t>
  </si>
  <si>
    <t xml:space="preserve">gid://shopify/Product/7742858887267</t>
  </si>
  <si>
    <t xml:space="preserve">gid://shopify/ProductVariant/43205235376227</t>
  </si>
  <si>
    <t xml:space="preserve">https://cdn.shopify.com/s/files/1/0572/0077/1171/files/Front_8b646446-3218-4032-9930-f4540135e577.png?v=1740551900</t>
  </si>
  <si>
    <t xml:space="preserve">Muhammad-12</t>
  </si>
  <si>
    <t xml:space="preserve">muhammad-12</t>
  </si>
  <si>
    <t xml:space="preserve">gid://shopify/Product/7742870454371</t>
  </si>
  <si>
    <t xml:space="preserve">gid://shopify/ProductVariant/43205249007715</t>
  </si>
  <si>
    <t xml:space="preserve">https://cdn.shopify.com/s/files/1/0572/0077/1171/files/Front_3f51b514-678e-4381-aefd-bc7aafa431c6.png?v=1740552284</t>
  </si>
  <si>
    <t xml:space="preserve">Allah Kufic- Blue and Orange Painting Background</t>
  </si>
  <si>
    <t xml:space="preserve">allah-frame-1</t>
  </si>
  <si>
    <t xml:space="preserve">gid://shopify/Product/7742889787491</t>
  </si>
  <si>
    <t xml:space="preserve">Digital Art | Islamic Art | Islamic Art- Digital Art</t>
  </si>
  <si>
    <t xml:space="preserve">6x9 inches @ 3500.00 (0) | 12x18 inches @ 5000.00 (0) | 24x36 inches @ 5250.00 (0)</t>
  </si>
  <si>
    <t xml:space="preserve">gid://shopify/ProductVariant/43205271814243</t>
  </si>
  <si>
    <t xml:space="preserve">https://cdn.shopify.com/s/files/1/0572/0077/1171/files/Artboard_9_25a76588-ec43-4ea3-897c-0906c8fe3de3.png?v=1759862187</t>
  </si>
  <si>
    <t xml:space="preserve">Allah Kufic- Turquoise Painting Background</t>
  </si>
  <si>
    <t xml:space="preserve">allah-frame-2</t>
  </si>
  <si>
    <t xml:space="preserve">gid://shopify/Product/7742896767075</t>
  </si>
  <si>
    <t xml:space="preserve">Digital Art | Best Sellers | Islamic Art | Islamic Art- Digital Art</t>
  </si>
  <si>
    <t xml:space="preserve">gid://shopify/ProductVariant/43205279907939</t>
  </si>
  <si>
    <t xml:space="preserve">https://cdn.shopify.com/s/files/1/0572/0077/1171/files/Artboard2_b65a0c80-08db-4398-a860-bf36e831c830.png?v=1759862137</t>
  </si>
  <si>
    <t xml:space="preserve">Allah Kufic- Black and White Painting Background</t>
  </si>
  <si>
    <t xml:space="preserve">allah-frame-3</t>
  </si>
  <si>
    <t xml:space="preserve">gid://shopify/Product/7742905221219</t>
  </si>
  <si>
    <t xml:space="preserve">gid://shopify/ProductVariant/43205298520163</t>
  </si>
  <si>
    <t xml:space="preserve">https://cdn.shopify.com/s/files/1/0572/0077/1171/files/Artboard_6_f3823bc9-8e88-4a7f-a5c5-ec8cc900141a.png?v=1759862069</t>
  </si>
  <si>
    <t xml:space="preserve">Allah Kufic- Grey Painting Background</t>
  </si>
  <si>
    <t xml:space="preserve">allah-frame-4</t>
  </si>
  <si>
    <t xml:space="preserve">gid://shopify/Product/7742911479907</t>
  </si>
  <si>
    <t xml:space="preserve">gid://shopify/ProductVariant/43205310251107</t>
  </si>
  <si>
    <t xml:space="preserve">https://cdn.shopify.com/s/files/1/0572/0077/1171/files/Artboard_6_948ee7b7-5f48-409a-8ee5-80af37bb3ec9.png?v=1759850324</t>
  </si>
  <si>
    <t xml:space="preserve">Allah Kufic- White Background</t>
  </si>
  <si>
    <t xml:space="preserve">allah-frame-5</t>
  </si>
  <si>
    <t xml:space="preserve">gid://shopify/Product/7742921244771</t>
  </si>
  <si>
    <t xml:space="preserve">Digital Art | New Arrivals | Islamic Art | Islamic Art- Digital Art</t>
  </si>
  <si>
    <t xml:space="preserve">gid://shopify/ProductVariant/43205324177507</t>
  </si>
  <si>
    <t xml:space="preserve">https://cdn.shopify.com/s/files/1/0572/0077/1171/files/Artboard2_f6d90428-b8e3-44e9-9f75-69c23ab388ed.png?v=1759850253</t>
  </si>
  <si>
    <t xml:space="preserve">Allah Kufic- Black Background</t>
  </si>
  <si>
    <t xml:space="preserve">allah-frame-6</t>
  </si>
  <si>
    <t xml:space="preserve">gid://shopify/Product/7742926454883</t>
  </si>
  <si>
    <t xml:space="preserve">Digital Art | Best Sellers | New Arrivals | Islamic Art | Islamic Art- Digital Art</t>
  </si>
  <si>
    <t xml:space="preserve">gid://shopify/ProductVariant/43205335351395</t>
  </si>
  <si>
    <t xml:space="preserve">https://cdn.shopify.com/s/files/1/0572/0077/1171/files/Artboard3_e4ec2b7b-805a-4525-8db2-64556c041d16.png?v=1740554093</t>
  </si>
  <si>
    <t xml:space="preserve">Allah and Muhammad Teardrop Set - White Background</t>
  </si>
  <si>
    <t xml:space="preserve">allah-and-muhammad-teardrop-set-white-background</t>
  </si>
  <si>
    <t xml:space="preserve">gid://shopify/Product/7743334088803</t>
  </si>
  <si>
    <t xml:space="preserve">6x9 inches / Set of 2 @ 6800.00 (0) | 6x9 inches / Allah @ 3500.00 (0) | 6x9 inches / Muhammad @ 3500.00 (0) | 12x18 inches / Set of 2 @ 8300.00 (0) | 12x18 inches / Allah @ 4800.00 (0) | 12x18 inches / Muhammad @ 4800.00 (0) | 12x24 inches / Set of 2 @ 9000.00 (0) | 12x24 inches / Allah @ 5250.00 (0) | 12x24 inches / Muhammad @ 5250.00 (0)</t>
  </si>
  <si>
    <t xml:space="preserve">gid://shopify/ProductVariant/43206268977251</t>
  </si>
  <si>
    <t xml:space="preserve">https://cdn.shopify.com/s/files/1/0572/0077/1171/files/Artboard2_4b28274d-54dc-44d8-ac6b-574a32d41f93.png?v=1759850064</t>
  </si>
  <si>
    <t xml:space="preserve">Allah and Muhammad Teardrop Set- Black Background</t>
  </si>
  <si>
    <t xml:space="preserve">allah-and-muhammad-teardrop-set-black-background</t>
  </si>
  <si>
    <t xml:space="preserve">gid://shopify/Product/7743334908003</t>
  </si>
  <si>
    <t xml:space="preserve">DRAFT</t>
  </si>
  <si>
    <t xml:space="preserve">Islamic Art- Digital Art</t>
  </si>
  <si>
    <t xml:space="preserve">6x9 inches / Black-framed / Set of 2 @ 3500.00 (0) | 6x9 inches / Black-framed / Allah @ 3500.00 (0) | 6x9 inches / Black-framed / Muhammad @ 3500.00 (0) | 6x9 inches / Frameless / Set of 2 @ 3500.00 (0) | 6x9 inches / Frameless / Allah @ 3500.00 (0) | 6x9 inches / Frameless / Muhammad @ 3500.00 (0) | 12x18 inches / Black-framed / Set of 2 @ 5000.00 (0) | 12x18 inches / Black-framed / Allah @ 5000.00 (0) | 12x18 inches / Black-framed / Muhammad @ 5000.00 (0) | 12x18 inches / Frameless / Set of 2 @ 5000.00 (0) | 12x18 inches / Frameless / Allah @ 5000.00 (0) | 12x18 inches / Frameless / Muhammad @ 5000.00 (0) | 16x24 inches / Black-framed / Set of 2 @ 5600.00 (0) | 16x24 inches / Black-framed / Allah @ 5600.00 (0) | 16x24 inches / Black-framed / Muhammad @ 5600.00 (0) | 16x24 inches / Frameless / Set of 2 @ 5600.00 (0) | 16x24 inches / Frameless / Allah @ 5600.00 (0) | 16x24 inches / Frameless / Muhammad @ 5600.00 (0)</t>
  </si>
  <si>
    <t xml:space="preserve">gid://shopify/ProductVariant/43206290210915</t>
  </si>
  <si>
    <t xml:space="preserve">https://cdn.shopify.com/s/files/1/0572/0077/1171/files/Artboard1_e11d7455-dfd9-43d6-9462-5da8e6202a44.png?v=1740568527</t>
  </si>
  <si>
    <t xml:space="preserve">Allah and Muhammad Teardrop Set- Blue and Orange Painting Background</t>
  </si>
  <si>
    <t xml:space="preserve">allah-and-muhammad-teardrop-set-blue-and-orange-painting-background</t>
  </si>
  <si>
    <t xml:space="preserve">gid://shopify/Product/7743335366755</t>
  </si>
  <si>
    <t xml:space="preserve">6x9 inches / Set of 2 @ 6800.00 (0) | 6x9 inches / Allah @ 3500.00 (0) | 6x9 inches / Muhammad @ 3500.00 (0) | 12x18 inches / Set of 2 @ 8300.00 (0) | 12x18 inches / Allah @ 4800.00 (0) | 12x18 inches / Muhammad @ 4800.00 (0) | 16x24 inches / Set of 2 @ 9000.00 (0) | 16x24 inches / Allah @ 5250.00 (0) | 16x24 inches / Muhammad @ 5250.00 (0)</t>
  </si>
  <si>
    <t xml:space="preserve">gid://shopify/ProductVariant/43206304923747</t>
  </si>
  <si>
    <t xml:space="preserve">https://cdn.shopify.com/s/files/1/0572/0077/1171/files/Artboard_7.png?v=1759849943</t>
  </si>
  <si>
    <t xml:space="preserve">Allah and Muhammad Teardrop Set- Turquoise Painting Background</t>
  </si>
  <si>
    <t xml:space="preserve">allah-and-muhammad-teardrop-set-turquoise-painting-background</t>
  </si>
  <si>
    <t xml:space="preserve">gid://shopify/Product/7743335989347</t>
  </si>
  <si>
    <t xml:space="preserve">gid://shopify/ProductVariant/43206319767651</t>
  </si>
  <si>
    <t xml:space="preserve">https://cdn.shopify.com/s/files/1/0572/0077/1171/files/Artboard2_e78196b1-bb90-4d04-bfe2-2b9dd9efdf3b.png?v=1740566597</t>
  </si>
  <si>
    <t xml:space="preserve">Allah and Muhammad Teardrop Set- Black and White Painting Background</t>
  </si>
  <si>
    <t xml:space="preserve">allah-and-muhammad-teardrop-set-black-and-white-painting-background</t>
  </si>
  <si>
    <t xml:space="preserve">gid://shopify/Product/7743336579171</t>
  </si>
  <si>
    <t xml:space="preserve">gid://shopify/ProductVariant/43206337036387</t>
  </si>
  <si>
    <t xml:space="preserve">https://cdn.shopify.com/s/files/1/0572/0077/1171/files/Artboard2_b0eef0ae-1fbd-4e18-9c96-dbbbf245e2c8.png?v=1740566632</t>
  </si>
  <si>
    <t xml:space="preserve">Allah and Muhammad Teardrop Set- Grey Painting Background</t>
  </si>
  <si>
    <t xml:space="preserve">allah-and-muhammad-teardrop-set-grey-painting-background</t>
  </si>
  <si>
    <t xml:space="preserve">gid://shopify/Product/7743337103459</t>
  </si>
  <si>
    <t xml:space="preserve">gid://shopify/ProductVariant/43206350766179</t>
  </si>
  <si>
    <t xml:space="preserve">https://cdn.shopify.com/s/files/1/0572/0077/1171/files/Artboard2_7c902655-005b-4f4b-ad92-e13bf145b093.png?v=1759847883</t>
  </si>
  <si>
    <t xml:space="preserve">Allah and Muhammad Kufic Set- White Background</t>
  </si>
  <si>
    <t xml:space="preserve">allah-and-muhammad-kufic-set-white-background</t>
  </si>
  <si>
    <t xml:space="preserve">gid://shopify/Product/7743340478563</t>
  </si>
  <si>
    <t xml:space="preserve">gid://shopify/ProductVariant/43206390579299</t>
  </si>
  <si>
    <t xml:space="preserve">https://cdn.shopify.com/s/files/1/0572/0077/1171/files/Artboard2_9b95048f-a795-4bba-b05e-5800c1a0fdfb.png?v=1759847061</t>
  </si>
  <si>
    <t xml:space="preserve">Allah and Muhammad Kufic Set- Black Background</t>
  </si>
  <si>
    <t xml:space="preserve">allah-and-muhammad-kufic-set-black-background</t>
  </si>
  <si>
    <t xml:space="preserve">gid://shopify/Product/7743347294307</t>
  </si>
  <si>
    <t xml:space="preserve">gid://shopify/ProductVariant/43206449856611</t>
  </si>
  <si>
    <t xml:space="preserve">https://cdn.shopify.com/s/files/1/0572/0077/1171/files/Artboard2_f2f15dd5-b19a-4b34-bea9-614098bc3252.png?v=1759847956</t>
  </si>
  <si>
    <t xml:space="preserve">Allah and Muhammad Kufic Set- Blue and Orange Painting Background</t>
  </si>
  <si>
    <t xml:space="preserve">allah-and-muhammad-kufic-set-blue-and-orange-painting-background</t>
  </si>
  <si>
    <t xml:space="preserve">gid://shopify/Product/7743349260387</t>
  </si>
  <si>
    <t xml:space="preserve">gid://shopify/ProductVariant/43206475874403</t>
  </si>
  <si>
    <t xml:space="preserve">https://cdn.shopify.com/s/files/1/0572/0077/1171/files/Artboard2_ef6ffe56-9269-46a2-98ca-d3b3fcbc03d0.png?v=1740568773</t>
  </si>
  <si>
    <t xml:space="preserve">Allah and Muhammad Kufic Set- Turquoise Painting Background</t>
  </si>
  <si>
    <t xml:space="preserve">allah-and-muhammad-kufic-set-turquoise-painting-background</t>
  </si>
  <si>
    <t xml:space="preserve">gid://shopify/Product/7743349915747</t>
  </si>
  <si>
    <t xml:space="preserve">gid://shopify/ProductVariant/43206490325091</t>
  </si>
  <si>
    <t xml:space="preserve">https://cdn.shopify.com/s/files/1/0572/0077/1171/files/Artboard_9.png?v=1759846695</t>
  </si>
  <si>
    <t xml:space="preserve">Allah and Muhammad Kufic Set- Black and White Painting Background</t>
  </si>
  <si>
    <t xml:space="preserve">allah-and-muhammad-kufic-set-black-and-white-painting-background</t>
  </si>
  <si>
    <t xml:space="preserve">gid://shopify/Product/7743350210659</t>
  </si>
  <si>
    <t xml:space="preserve">gid://shopify/ProductVariant/43206501171299</t>
  </si>
  <si>
    <t xml:space="preserve">https://cdn.shopify.com/s/files/1/0572/0077/1171/files/Artboard2_bc15ae48-8b90-481d-a6a3-7d4fe420fc29.png?v=1740567804</t>
  </si>
  <si>
    <t xml:space="preserve">Allah and Muhammad Kufic Set- Grey Painting Background</t>
  </si>
  <si>
    <t xml:space="preserve">allah-and-muhammad-kufic-set-grey-painting-background</t>
  </si>
  <si>
    <t xml:space="preserve">gid://shopify/Product/7743350472803</t>
  </si>
  <si>
    <t xml:space="preserve">gid://shopify/ProductVariant/43206513492067</t>
  </si>
  <si>
    <t xml:space="preserve">https://cdn.shopify.com/s/files/1/0572/0077/1171/files/Artboard2_e6b94f12-543d-4367-8c93-3df50173c1e8.png?v=1740567914</t>
  </si>
  <si>
    <t xml:space="preserve">Allah and Muhammad Nastaliq Set- White Background</t>
  </si>
  <si>
    <t xml:space="preserve">allah-and-muhammad-nastaliq-set-white-background</t>
  </si>
  <si>
    <t xml:space="preserve">gid://shopify/Product/7743352635491</t>
  </si>
  <si>
    <t xml:space="preserve">6x12 inches / Set of 2 @ 6800.00 (0) | 6x12 inches / Allah @ 3500.00 (0) | 6x12 inches / Muhammad @ 3500.00 (0) | 9x18 inches / Set of 2 @ 8300.00 (0) | 9x18 inches / Allah @ 4800.00 (0) | 9x18 inches / Muhammad @ 4800.00 (0) | 12x24 inches / Set of 2 @ 9000.00 (0) | 12x24 inches / Allah @ 5250.00 (0) | 12x24 inches / Muhammad @ 5250.00 (0)</t>
  </si>
  <si>
    <t xml:space="preserve">gid://shopify/ProductVariant/43206616350819</t>
  </si>
  <si>
    <t xml:space="preserve">https://cdn.shopify.com/s/files/1/0572/0077/1171/files/Artboard2_34914974-95a6-4441-8cdf-d693ed5b5de5.png?v=1759846454</t>
  </si>
  <si>
    <t xml:space="preserve">Allah and Muhammad Nastaliq Set- Black Background</t>
  </si>
  <si>
    <t xml:space="preserve">allah-and-muhammad-nastaliq-set-black-background</t>
  </si>
  <si>
    <t xml:space="preserve">gid://shopify/Product/7743352897635</t>
  </si>
  <si>
    <t xml:space="preserve">gid://shopify/ProductVariant/43206630670435</t>
  </si>
  <si>
    <t xml:space="preserve">https://cdn.shopify.com/s/files/1/0572/0077/1171/files/Artboard2_49a9e827-5cd5-4e9f-a307-4dddc9c3d3e0.png?v=1759846354</t>
  </si>
  <si>
    <t xml:space="preserve">Allah and Muhammad Nastaliq Set- Blue and Orange Painting Background</t>
  </si>
  <si>
    <t xml:space="preserve">allah-and-muhammad-nastaliq-set-blue-and-orange-painting-background</t>
  </si>
  <si>
    <t xml:space="preserve">gid://shopify/Product/7743353225315</t>
  </si>
  <si>
    <t xml:space="preserve">gid://shopify/ProductVariant/43206648103011</t>
  </si>
  <si>
    <t xml:space="preserve">https://cdn.shopify.com/s/files/1/0572/0077/1171/files/Artboard2_ba29b98a-a1a0-45a6-b3d1-11f86d9052d9.png?v=1759846255</t>
  </si>
  <si>
    <t xml:space="preserve">Allah and Muhammad Nastaliq Set- Turquoise Painting Background</t>
  </si>
  <si>
    <t xml:space="preserve">allah-and-muhammad-nastaliq-set-turquoise-painting-background</t>
  </si>
  <si>
    <t xml:space="preserve">gid://shopify/Product/7743353749603</t>
  </si>
  <si>
    <t xml:space="preserve">6x12 inches / Set of 2 @ 6800.00 (0) | 6x12 inches / Allah @ 3500.00 (0) | 6x12 inches / Muhammad @ 3500.00 (0) | 9x18 inches / Set of 2 @ 8300.00 (0) | 9x18 inches / Allah @ 4800.00 (0) | 9x18 inches / Muhammad @ 4800.00 (0) | 12x24inches / Set of 2 @ 9000.00 (0) | 12x24inches / Allah @ 5250.00 (0) | 12x24inches / Muhammad @ 5250.00 (0)</t>
  </si>
  <si>
    <t xml:space="preserve">gid://shopify/ProductVariant/43206656983139</t>
  </si>
  <si>
    <t xml:space="preserve">https://cdn.shopify.com/s/files/1/0572/0077/1171/files/Artboard2_672f1b44-e10d-48cb-a9c8-067c61e60327.png?v=1740844243</t>
  </si>
  <si>
    <t xml:space="preserve">Allah and Muhammad Nastaliq Set- Black and White Painting Background</t>
  </si>
  <si>
    <t xml:space="preserve">allah-and-muhammad-nastaliq-set-black-and-white-painting-background</t>
  </si>
  <si>
    <t xml:space="preserve">gid://shopify/Product/7743354404963</t>
  </si>
  <si>
    <t xml:space="preserve">6x9 inches / Set of 2 @ 6800.00 (0) | 6x9 inches / Allah @ 3500.00 (0) | 6x9 inches / Muhammad @ 3500.00 (0) | 12x18 inches / Set of 2 @ 8300.00 (0) | 12x18 inches / Allah @ 4800.00 (0) | 12x18 inches / Muhammad @ 4800.00 (0) | 24x36 inches / Set of 2 @ 9000.00 (0) | 24x36 inches / Allah @ 5250.00 (0) | 24x36 inches / Muhammad @ 5250.00 (0)</t>
  </si>
  <si>
    <t xml:space="preserve">gid://shopify/ProductVariant/43206669598819</t>
  </si>
  <si>
    <t xml:space="preserve">https://cdn.shopify.com/s/files/1/0572/0077/1171/files/Artboard2_731ad914-5dc6-4305-9cff-35a23b18ceca.png?v=1759846129</t>
  </si>
  <si>
    <t xml:space="preserve">Allah and Muhammad Nastaliq Set- Grey Painting Background</t>
  </si>
  <si>
    <t xml:space="preserve">allah-and-muhammad-nastaliq-set-grey-painting-background</t>
  </si>
  <si>
    <t xml:space="preserve">gid://shopify/Product/7743354536035</t>
  </si>
  <si>
    <t xml:space="preserve">gid://shopify/ProductVariant/43206670319715</t>
  </si>
  <si>
    <t xml:space="preserve">https://cdn.shopify.com/s/files/1/0572/0077/1171/files/Artboard2_3b836c2c-b7fa-490e-8b55-cc4e18df3ca7.png?v=1759846003</t>
  </si>
  <si>
    <t xml:space="preserve">Ayat ul Kursi, Surah Nas, Surah Falak Set</t>
  </si>
  <si>
    <t xml:space="preserve">ayat-ul-kursi-surah-nas-surah-falak-set</t>
  </si>
  <si>
    <t xml:space="preserve">gid://shopify/Product/7752325824611</t>
  </si>
  <si>
    <t xml:space="preserve">2D Wall-Art | Best Sellers | New Arrivals | Islamic Art | Islamic Art- 2D</t>
  </si>
  <si>
    <t xml:space="preserve">24x30 each panel / Set of 3 @ 12000.00 (999) | 24x30 each panel / Ayat-ul-Kursi @ 5000.00 (999) | 24x30 each panel / Surah Naas @ 5000.00 (999) | 24x30 each panel / Surah Falak @ 5000.00 (999)</t>
  </si>
  <si>
    <t xml:space="preserve">gid://shopify/ProductVariant/43236922556515</t>
  </si>
  <si>
    <t xml:space="preserve">https://cdn.shopify.com/s/files/1/0572/0077/1171/files/Front_8d634ed2-5c58-48c4-9139-edd9bd8814be.png?v=1741809974</t>
  </si>
  <si>
    <t xml:space="preserve">2025-03-12</t>
  </si>
  <si>
    <t xml:space="preserve">Bismillah Circular</t>
  </si>
  <si>
    <t xml:space="preserve">bismillah-circular</t>
  </si>
  <si>
    <t xml:space="preserve">gid://shopify/Product/7756767068259</t>
  </si>
  <si>
    <t xml:space="preserve">gid://shopify/ProductVariant/43254589161571</t>
  </si>
  <si>
    <t xml:space="preserve">https://cdn.shopify.com/s/files/1/0572/0077/1171/files/Front_35ad5d48-2926-4daa-8323-3a40ca3c5434.png?v=1742402247</t>
  </si>
  <si>
    <t xml:space="preserve">2025-03-19</t>
  </si>
  <si>
    <t xml:space="preserve">Bismillah Square Kufic</t>
  </si>
  <si>
    <t xml:space="preserve">bismillah-square-kufic</t>
  </si>
  <si>
    <t xml:space="preserve">gid://shopify/Product/7756767297635</t>
  </si>
  <si>
    <t xml:space="preserve">4x24 inches @ 3500.00 (0) | 6x36 inches @ 5200.00 (0)</t>
  </si>
  <si>
    <t xml:space="preserve">gid://shopify/ProductVariant/43254590668899</t>
  </si>
  <si>
    <t xml:space="preserve">https://cdn.shopify.com/s/files/1/0572/0077/1171/files/Front_37121357-07c4-41be-b0e6-e66414fbbd7f.png?v=1742402493</t>
  </si>
  <si>
    <t xml:space="preserve">Bismillah Knotted Kufic</t>
  </si>
  <si>
    <t xml:space="preserve">bismillah-knotted-kufic</t>
  </si>
  <si>
    <t xml:space="preserve">gid://shopify/Product/7756767461475</t>
  </si>
  <si>
    <t xml:space="preserve">6x24 inches @ 2299.00 (0) | 8x32 inches @ 2799.00 (0)</t>
  </si>
  <si>
    <t xml:space="preserve">gid://shopify/ProductVariant/43254591062115</t>
  </si>
  <si>
    <t xml:space="preserve">https://cdn.shopify.com/s/files/1/0572/0077/1171/files/Front_48fa0cd3-8948-4b2c-8772-4031fdea3192.png?v=1742402663</t>
  </si>
  <si>
    <t xml:space="preserve">Loh-e-Qurani</t>
  </si>
  <si>
    <t xml:space="preserve">loh-e-qurani</t>
  </si>
  <si>
    <t xml:space="preserve">gid://shopify/Product/7756767592547</t>
  </si>
  <si>
    <t xml:space="preserve">2D Wall-Art | New Arrivals | Islamic Art</t>
  </si>
  <si>
    <t xml:space="preserve">gid://shopify/ProductVariant/43254592045155</t>
  </si>
  <si>
    <t xml:space="preserve">https://cdn.shopify.com/s/files/1/0572/0077/1171/files/Front_83c82d08-8fc0-4b9b-ae76-eeb5cc561079.png?v=1742402833</t>
  </si>
  <si>
    <t xml:space="preserve">spiderman-1</t>
  </si>
  <si>
    <t xml:space="preserve">gid://shopify/Product/7756800327779</t>
  </si>
  <si>
    <t xml:space="preserve">Movies | Digital Art | New Arrivals | Comics/Superheroes/Movies- Digital Art</t>
  </si>
  <si>
    <t xml:space="preserve">gid://shopify/ProductVariant/43254718038115</t>
  </si>
  <si>
    <t xml:space="preserve">https://cdn.shopify.com/s/files/1/0572/0077/1171/files/Artboard6_a0f321cd-0103-48be-9e05-51d23ef555e5.png?v=1756495588</t>
  </si>
  <si>
    <t xml:space="preserve">Fire and Smoke</t>
  </si>
  <si>
    <t xml:space="preserve">fire-and-smoke</t>
  </si>
  <si>
    <t xml:space="preserve">gid://shopify/Product/7756801409123</t>
  </si>
  <si>
    <t xml:space="preserve">gid://shopify/ProductVariant/43254722396259</t>
  </si>
  <si>
    <t xml:space="preserve">https://cdn.shopify.com/s/files/1/0572/0077/1171/files/FireandSmoke.png?v=1756498836</t>
  </si>
  <si>
    <t xml:space="preserve">Neon Groot</t>
  </si>
  <si>
    <t xml:space="preserve">neon-groot</t>
  </si>
  <si>
    <t xml:space="preserve">gid://shopify/Product/7756801867875</t>
  </si>
  <si>
    <t xml:space="preserve">gid://shopify/ProductVariant/43254725836899</t>
  </si>
  <si>
    <t xml:space="preserve">https://cdn.shopify.com/s/files/1/0572/0077/1171/files/NeonGroot.png?v=1756573969</t>
  </si>
  <si>
    <t xml:space="preserve">Naruto and  Sasuke</t>
  </si>
  <si>
    <t xml:space="preserve">naruto-and-sasuke</t>
  </si>
  <si>
    <t xml:space="preserve">gid://shopify/Product/7756803375203</t>
  </si>
  <si>
    <t xml:space="preserve">Anime/Manga | Digital Art | Anime/Manga- Digital Art | Naruto</t>
  </si>
  <si>
    <t xml:space="preserve">gid://shopify/ProductVariant/43254735437923</t>
  </si>
  <si>
    <t xml:space="preserve">https://cdn.shopify.com/s/files/1/0572/0077/1171/files/NarutoandSasuke.png?v=1756573615</t>
  </si>
  <si>
    <t xml:space="preserve">Snake</t>
  </si>
  <si>
    <t xml:space="preserve">snake</t>
  </si>
  <si>
    <t xml:space="preserve">gid://shopify/Product/7756804292707</t>
  </si>
  <si>
    <t xml:space="preserve">Maths and Nature | Digital Art</t>
  </si>
  <si>
    <t xml:space="preserve">gid://shopify/ProductVariant/43540124205155</t>
  </si>
  <si>
    <t xml:space="preserve">https://cdn.shopify.com/s/files/1/0572/0077/1171/files/Snake.png?v=1756575445</t>
  </si>
  <si>
    <t xml:space="preserve">Fire and Smoke Variant 2</t>
  </si>
  <si>
    <t xml:space="preserve">fire-and-smoke-variant-2</t>
  </si>
  <si>
    <t xml:space="preserve">gid://shopify/Product/7756804784227</t>
  </si>
  <si>
    <t xml:space="preserve">gid://shopify/ProductVariant/43540123943011</t>
  </si>
  <si>
    <t xml:space="preserve">https://cdn.shopify.com/s/files/1/0572/0077/1171/files/FireandSmokeVariant2.png?v=1756498796</t>
  </si>
  <si>
    <t xml:space="preserve">cat-4</t>
  </si>
  <si>
    <t xml:space="preserve">gid://shopify/Product/7756805177443</t>
  </si>
  <si>
    <t xml:space="preserve">gid://shopify/ProductVariant/43540123615331</t>
  </si>
  <si>
    <t xml:space="preserve">https://cdn.shopify.com/s/files/1/0572/0077/1171/files/Cat_d00b71b4-f9a0-48ee-a188-9ad3a94505f0.png?v=1756498492</t>
  </si>
  <si>
    <t xml:space="preserve">Black Lamborghini</t>
  </si>
  <si>
    <t xml:space="preserve">black-lamborghini</t>
  </si>
  <si>
    <t xml:space="preserve">gid://shopify/Product/7757555662947</t>
  </si>
  <si>
    <t xml:space="preserve">Modern Art | Digital Art | Cars</t>
  </si>
  <si>
    <t xml:space="preserve">gid://shopify/ProductVariant/43539850362979</t>
  </si>
  <si>
    <t xml:space="preserve">https://cdn.shopify.com/s/files/1/0572/0077/1171/files/BlackLamborghini.png?v=1756498356</t>
  </si>
  <si>
    <t xml:space="preserve">2025-03-20</t>
  </si>
  <si>
    <t xml:space="preserve">Heavy Bike</t>
  </si>
  <si>
    <t xml:space="preserve">heavy-bike</t>
  </si>
  <si>
    <t xml:space="preserve">gid://shopify/Product/7757682344035</t>
  </si>
  <si>
    <t xml:space="preserve">Cars</t>
  </si>
  <si>
    <t xml:space="preserve">gid://shopify/ProductVariant/43539849871459</t>
  </si>
  <si>
    <t xml:space="preserve">https://cdn.shopify.com/s/files/1/0572/0077/1171/files/Front_492bb616-bf14-43fd-8a46-1e6cd64f4016.png?v=1742471083</t>
  </si>
  <si>
    <t xml:space="preserve">Goku Ultra Instinct</t>
  </si>
  <si>
    <t xml:space="preserve">goku-1</t>
  </si>
  <si>
    <t xml:space="preserve">gid://shopify/Product/7757712621667</t>
  </si>
  <si>
    <t xml:space="preserve">gid://shopify/ProductVariant/43539849642083</t>
  </si>
  <si>
    <t xml:space="preserve">https://cdn.shopify.com/s/files/1/0572/0077/1171/files/GokuUltraInstinct.png?v=1756499059</t>
  </si>
  <si>
    <t xml:space="preserve">Goku Moon Background</t>
  </si>
  <si>
    <t xml:space="preserve">goku-moon-background</t>
  </si>
  <si>
    <t xml:space="preserve">gid://shopify/Product/7757729628259</t>
  </si>
  <si>
    <t xml:space="preserve">gid://shopify/ProductVariant/43539848855651</t>
  </si>
  <si>
    <t xml:space="preserve">https://cdn.shopify.com/s/files/1/0572/0077/1171/files/GokuMoonBackground.png?v=1756498980</t>
  </si>
  <si>
    <t xml:space="preserve">Goku Fan Art</t>
  </si>
  <si>
    <t xml:space="preserve">goku-fan-art</t>
  </si>
  <si>
    <t xml:space="preserve">gid://shopify/Product/7757729890403</t>
  </si>
  <si>
    <t xml:space="preserve">gid://shopify/ProductVariant/43539848167523</t>
  </si>
  <si>
    <t xml:space="preserve">https://cdn.shopify.com/s/files/1/0572/0077/1171/files/GokuFanArt.png?v=1756498937</t>
  </si>
  <si>
    <t xml:space="preserve">Red Tree with Branches Set</t>
  </si>
  <si>
    <t xml:space="preserve">red-tree-with-branches</t>
  </si>
  <si>
    <t xml:space="preserve">gid://shopify/Product/7757777862755</t>
  </si>
  <si>
    <t xml:space="preserve">Modern Art | Digital Art | New Arrivals</t>
  </si>
  <si>
    <t xml:space="preserve">3 Panels Set: 6x9 inches each panel @ 6500.00 (0) | 3 Panels Set: 8x12 inches each panel @ 8500.00 (0) | 3 Panels Set: 12x18 inches each panel @ 10500.00 (0) | 3 Panels Set: 16x24 inches each panel @ 12500.00 (0)</t>
  </si>
  <si>
    <t xml:space="preserve">gid://shopify/ProductVariant/43258961756259</t>
  </si>
  <si>
    <t xml:space="preserve">https://cdn.shopify.com/s/files/1/0572/0077/1171/files/Red_Tree_with_Branches_Set.png?v=1756494252</t>
  </si>
  <si>
    <t xml:space="preserve">Red Tree with Branches Set Variant 2</t>
  </si>
  <si>
    <t xml:space="preserve">red-tree-with-branches-variant-2</t>
  </si>
  <si>
    <t xml:space="preserve">gid://shopify/Product/7757778452579</t>
  </si>
  <si>
    <t xml:space="preserve">gid://shopify/ProductVariant/43258622378083</t>
  </si>
  <si>
    <t xml:space="preserve">https://cdn.shopify.com/s/files/1/0572/0077/1171/files/Red_Tree_with_Branches_Set_Variant_2.png?v=1756494278</t>
  </si>
  <si>
    <t xml:space="preserve">Black Woman Set</t>
  </si>
  <si>
    <t xml:space="preserve">black-woman-set</t>
  </si>
  <si>
    <t xml:space="preserve">gid://shopify/Product/7757779959907</t>
  </si>
  <si>
    <t xml:space="preserve">Modern Art | Digital Art | Best Sellers | New Arrivals | Cultural Arts | Cultural Arts- Digital</t>
  </si>
  <si>
    <t xml:space="preserve">6x9 inches / Set of 2 @ 5500.00 (0) | 6x9 inches / Single @ 5500.00 (0) | 8x12 inches / Set of 2 @ 6500.00 (0) | 8x12 inches / Single @ 6500.00 (0) | 12x18 inches / Set of 2 @ 7500.00 (0) | 12x18 inches / Single @ 7500.00 (0) | 16x24 inches / Set of 2 @ 8500.00 (0) | 16x24 inches / Single @ 8500.00 (0)</t>
  </si>
  <si>
    <t xml:space="preserve">gid://shopify/ProductVariant/43541845835875</t>
  </si>
  <si>
    <t xml:space="preserve">https://cdn.shopify.com/s/files/1/0572/0077/1171/files/Artboard7_7ec0599f-d785-4294-88fa-c87178dbec82.png?v=1756315685</t>
  </si>
  <si>
    <t xml:space="preserve">Black Woman Set Variant 2</t>
  </si>
  <si>
    <t xml:space="preserve">black-woman-set-variant-2</t>
  </si>
  <si>
    <t xml:space="preserve">gid://shopify/Product/7757780779107</t>
  </si>
  <si>
    <t xml:space="preserve">Modern Art | Digital Art | Cultural Arts | Cultural Arts- Digital</t>
  </si>
  <si>
    <t xml:space="preserve">2 Panel Set: 6x9 inches each @ 6500.00 (0) | 2 Panel Set: 16x24 inches each @ 8500.00 (0) | 2 Panel Set: 8x12 inches each @ 10500.00 (0) | 2 Panel Set: 12x18 inches each @ 12500.00 (0)</t>
  </si>
  <si>
    <t xml:space="preserve">gid://shopify/ProductVariant/43541844328547</t>
  </si>
  <si>
    <t xml:space="preserve">https://cdn.shopify.com/s/files/1/0572/0077/1171/files/Artboard7_ac961182-d39d-4519-8ea6-2220a35bfe0a.png?v=1756315734</t>
  </si>
  <si>
    <t xml:space="preserve">Golden Ripples Set</t>
  </si>
  <si>
    <t xml:space="preserve">golden-ripples</t>
  </si>
  <si>
    <t xml:space="preserve">gid://shopify/Product/7767486103651</t>
  </si>
  <si>
    <t xml:space="preserve">Minimalistic and Classical Art | Modern Art | Digital Art | Best Sellers | New Arrivals</t>
  </si>
  <si>
    <t xml:space="preserve">3 Panels: 6x9 inches each panel @ 6500.00 (0) | 3 Panels: 8x12 inches each panel @ 8500.00 (0) | 3 Panel Set: 12x18 inches each panel @ 10500.00 (0) | 3 Panel Set: 16x24 inches each panel @ 12500.00 (0)</t>
  </si>
  <si>
    <t xml:space="preserve">gid://shopify/ProductVariant/43541840199779</t>
  </si>
  <si>
    <t xml:space="preserve">https://cdn.shopify.com/s/files/1/0572/0077/1171/files/Golden_Ripples_Set.png?v=1756407626</t>
  </si>
  <si>
    <t xml:space="preserve">2025-04-09</t>
  </si>
  <si>
    <t xml:space="preserve">Red Tree with Branches Set Variant 3</t>
  </si>
  <si>
    <t xml:space="preserve">red-tree-with-branches-set-variant-3</t>
  </si>
  <si>
    <t xml:space="preserve">gid://shopify/Product/7767487479907</t>
  </si>
  <si>
    <t xml:space="preserve">3 Panels: 6x9 inches each panel @ 6500.00 (0) | 3 Panels: 8x12 inches each panel @ 8500.00 (0) | 3 Panels: 12x18 inches each panel @ 10500.00 (0) | 3 Panels: 16x24 inches each panel @ 12500.00 (0)</t>
  </si>
  <si>
    <t xml:space="preserve">gid://shopify/ProductVariant/43541837709411</t>
  </si>
  <si>
    <t xml:space="preserve">https://cdn.shopify.com/s/files/1/0572/0077/1171/files/Red_Tree_with_Branches_Set_Variant_3.png?v=1756494307</t>
  </si>
  <si>
    <t xml:space="preserve">Dome of the Rock Painting Set</t>
  </si>
  <si>
    <t xml:space="preserve">dome-of-the-rock-set</t>
  </si>
  <si>
    <t xml:space="preserve">gid://shopify/Product/7767489445987</t>
  </si>
  <si>
    <t xml:space="preserve">Minimalistic and Classical Art | Modern Art | Digital Art | Best Sellers | New Arrivals | Islamic Art | Cultural Arts- Digital</t>
  </si>
  <si>
    <t xml:space="preserve">3 Panels: 6x9 inches each panel @ 6500.00 (0) | 3 Panels: 8x12 inches each panel @ 8500.00 (0) | 3 Panels: 12x18 inches each panel @ 10000.00 (0) | 3 Panels: 16x24 inches each panel @ 14000.00 (0)</t>
  </si>
  <si>
    <t xml:space="preserve">gid://shopify/ProductVariant/43541829386339</t>
  </si>
  <si>
    <t xml:space="preserve">https://cdn.shopify.com/s/files/1/0572/0077/1171/files/Artboard2_456f1add-a4be-4bd2-ba6b-768b72bb72c1.png?v=1744199683</t>
  </si>
  <si>
    <t xml:space="preserve">Kaabah Painting Set</t>
  </si>
  <si>
    <t xml:space="preserve">kaabah-painting-set</t>
  </si>
  <si>
    <t xml:space="preserve">gid://shopify/Product/7767490101347</t>
  </si>
  <si>
    <t xml:space="preserve">Minimalistic and Classical Art | Digital Art | Best Sellers | New Arrivals | Islamic Art | Cultural Arts- Digital</t>
  </si>
  <si>
    <t xml:space="preserve">3  Panel Set: 12x18 inches each panel @ 10000.00 (0) | 3 Panel Set: 16x24 inches each panel @ 14000.00 (0)</t>
  </si>
  <si>
    <t xml:space="preserve">gid://shopify/ProductVariant/43293913612387</t>
  </si>
  <si>
    <t xml:space="preserve">https://cdn.shopify.com/s/files/1/0572/0077/1171/files/Artboard2_b745579a-280d-45be-80d7-23af8f180164.png?v=1744201888</t>
  </si>
  <si>
    <t xml:space="preserve">Roman Coloseum Painting Set</t>
  </si>
  <si>
    <t xml:space="preserve">roman-colloseum-painting-set</t>
  </si>
  <si>
    <t xml:space="preserve">gid://shopify/Product/7767491575907</t>
  </si>
  <si>
    <t xml:space="preserve">Minimalistic and Classical Art | Modern Art | Digital Art | Best Sellers | New Arrivals | Cultural Arts- Digital</t>
  </si>
  <si>
    <t xml:space="preserve">3 Panel Set: two 6x10" one 6x12" @ 6500.00 (-1) | 3 Panel Set: two 12x20"  one 12x24" @ 10999.00 (-1)</t>
  </si>
  <si>
    <t xml:space="preserve">gid://shopify/ProductVariant/43293930389603</t>
  </si>
  <si>
    <t xml:space="preserve">https://cdn.shopify.com/s/files/1/0572/0077/1171/files/Artboard2_ef98a69e-ba0b-4f8a-ac46-bd56c3a9431c.png?v=1744200133</t>
  </si>
  <si>
    <t xml:space="preserve">Roman Colosseum Painting Set Variant 2</t>
  </si>
  <si>
    <t xml:space="preserve">roman-colosseum-painting-set-variant-2</t>
  </si>
  <si>
    <t xml:space="preserve">gid://shopify/Product/7767492591715</t>
  </si>
  <si>
    <t xml:space="preserve">Minimalistic and Classical Art | Modern Art | Digital Art | Cultural Arts- Digital</t>
  </si>
  <si>
    <t xml:space="preserve">gid://shopify/ProductVariant/43541829451875</t>
  </si>
  <si>
    <t xml:space="preserve">https://cdn.shopify.com/s/files/1/0572/0077/1171/files/Roman_Colosseum_Painting_Set_Variant_2.png?v=1756494490</t>
  </si>
  <si>
    <t xml:space="preserve">Yggdrasil Abstract Painting</t>
  </si>
  <si>
    <t xml:space="preserve">yggdrasil-abstract-painting</t>
  </si>
  <si>
    <t xml:space="preserve">gid://shopify/Product/7767494983779</t>
  </si>
  <si>
    <t xml:space="preserve">gid://shopify/ProductVariant/43539846987875</t>
  </si>
  <si>
    <t xml:space="preserve">https://cdn.shopify.com/s/files/1/0572/0077/1171/files/Front_e9bcb522-fcda-462a-933a-c50980b82f15.png?v=1756575644</t>
  </si>
  <si>
    <t xml:space="preserve">Brazilian Dancing Women Set</t>
  </si>
  <si>
    <t xml:space="preserve">brazilian-dancing-women-set</t>
  </si>
  <si>
    <t xml:space="preserve">gid://shopify/Product/7767495442531</t>
  </si>
  <si>
    <t xml:space="preserve">Minimalistic and Classical Art | Modern Art | Digital Art | Best Sellers | New Arrivals | Cultural Arts | Cultural Arts- Digital</t>
  </si>
  <si>
    <t xml:space="preserve">3 Panel Set: two 6x10" panels one 6x12" panel @ 6500.00 (0) | 3 Panel Set: two 12x20" panels one 12x24" panel @ 10999.00 (0)</t>
  </si>
  <si>
    <t xml:space="preserve">gid://shopify/ProductVariant/43541823783011</t>
  </si>
  <si>
    <t xml:space="preserve">https://cdn.shopify.com/s/files/1/0572/0077/1171/files/Artboard2_2fc7edb2-bbe5-4bd0-8254-0edfa6f80b59.png?v=1744201625</t>
  </si>
  <si>
    <t xml:space="preserve">Duality Abstract African Art Set</t>
  </si>
  <si>
    <t xml:space="preserve">duality-abstract-african-art</t>
  </si>
  <si>
    <t xml:space="preserve">gid://shopify/Product/7767726325859</t>
  </si>
  <si>
    <t xml:space="preserve">2 Panel Set: 8x12 inches each panel @ 5500.00 (0) | 2 Panel Set: 12x18 inches each panel @ 6500.00 (0) | 2 Panel Set: 16x24 inches each panel @ 7500.00 (0) | 2 Panel Set: 6x9 inches each panel @ 8500.00 (0)</t>
  </si>
  <si>
    <t xml:space="preserve">gid://shopify/ProductVariant/43295454724195</t>
  </si>
  <si>
    <t xml:space="preserve">https://cdn.shopify.com/s/files/1/0572/0077/1171/files/Artboard_7_d297b302-e760-4674-a925-b863850c32d7.png?v=1756385503</t>
  </si>
  <si>
    <t xml:space="preserve">2025-04-10</t>
  </si>
  <si>
    <t xml:space="preserve">Yin Yang Dance Set</t>
  </si>
  <si>
    <t xml:space="preserve">yin-yang-dance-set</t>
  </si>
  <si>
    <t xml:space="preserve">gid://shopify/Product/7767727571043</t>
  </si>
  <si>
    <t xml:space="preserve">2 Panel Set: 6x9 inches each panel @ 5500.00 (0) | 2 Panel Set: 8x12 inches each panel @ 6500.00 (0) | 2 Panel Set: 12x18 inches each panel @ 7500.00 (0) | 2 Panel Set: 16x24 inches each panel @ 8500.00 (0)</t>
  </si>
  <si>
    <t xml:space="preserve">gid://shopify/ProductVariant/43541238612067</t>
  </si>
  <si>
    <t xml:space="preserve">https://cdn.shopify.com/s/files/1/0572/0077/1171/files/Yin_Yang_Dance_Set.png?v=1756497398</t>
  </si>
  <si>
    <t xml:space="preserve">African Art- Geometric Abstract Set</t>
  </si>
  <si>
    <t xml:space="preserve">african-art-geometric-abstract-set</t>
  </si>
  <si>
    <t xml:space="preserve">gid://shopify/Product/7767728226403</t>
  </si>
  <si>
    <t xml:space="preserve">Minimalistic and Classical Art | Digital Art | Best Sellers | New Arrivals | Cultural Arts | Cultural Arts- Digital</t>
  </si>
  <si>
    <t xml:space="preserve">gid://shopify/ProductVariant/43541238186083</t>
  </si>
  <si>
    <t xml:space="preserve">https://cdn.shopify.com/s/files/1/0572/0077/1171/files/Artboard7.png?v=1756236310</t>
  </si>
  <si>
    <t xml:space="preserve">African Villagers Farming Set</t>
  </si>
  <si>
    <t xml:space="preserve">african-villagers-farming-set</t>
  </si>
  <si>
    <t xml:space="preserve">gid://shopify/Product/7767728521315</t>
  </si>
  <si>
    <t xml:space="preserve">3 Panel Set: 6x9 inches each panel @ 6500.00 (0) | 3 Panel Set: 8x12 inches each panel @ 8500.00 (0) | 3 Panel Set: 12x18 inches each panel @ 10500.00 (0) | 3 Panel Set: 16x24 inches each panel @ 12500.00 (0)</t>
  </si>
  <si>
    <t xml:space="preserve">gid://shopify/ProductVariant/43541224226915</t>
  </si>
  <si>
    <t xml:space="preserve">https://cdn.shopify.com/s/files/1/0572/0077/1171/files/African_Villagers_Farming_Set_54948de0-77af-4eef-be7f-d973479abc68.png?v=1756328690</t>
  </si>
  <si>
    <t xml:space="preserve">Mountain- Stained Glass Style</t>
  </si>
  <si>
    <t xml:space="preserve">mountain-stained-glass-style</t>
  </si>
  <si>
    <t xml:space="preserve">gid://shopify/Product/7788994101347</t>
  </si>
  <si>
    <t xml:space="preserve">Digital Art | Best Sellers | New Arrivals | Stained Glass Style</t>
  </si>
  <si>
    <t xml:space="preserve">gid://shopify/ProductVariant/43539845087331</t>
  </si>
  <si>
    <t xml:space="preserve">https://cdn.shopify.com/s/files/1/0572/0077/1171/files/Artboard6_e6fe4418-b777-49c7-9d2e-72fbd9c84e1c.png?v=1756412560</t>
  </si>
  <si>
    <t xml:space="preserve">2025-04-29</t>
  </si>
  <si>
    <t xml:space="preserve">Family- Stained Glass Style</t>
  </si>
  <si>
    <t xml:space="preserve">family-stained-glass-style</t>
  </si>
  <si>
    <t xml:space="preserve">gid://shopify/Product/7789022249059</t>
  </si>
  <si>
    <t xml:space="preserve">gid://shopify/ProductVariant/43539844169827</t>
  </si>
  <si>
    <t xml:space="preserve">https://cdn.shopify.com/s/files/1/0572/0077/1171/files/Family-StainedGlassStyle.png?v=1756498722</t>
  </si>
  <si>
    <t xml:space="preserve">Phoenix- Stained Glass Style</t>
  </si>
  <si>
    <t xml:space="preserve">phoenix-stained-glass-style</t>
  </si>
  <si>
    <t xml:space="preserve">gid://shopify/Product/7789052035171</t>
  </si>
  <si>
    <t xml:space="preserve">Digital Art | New Arrivals | Stained Glass Style</t>
  </si>
  <si>
    <t xml:space="preserve">gid://shopify/ProductVariant/43539843317859</t>
  </si>
  <si>
    <t xml:space="preserve">https://cdn.shopify.com/s/files/1/0572/0077/1171/files/Artboard6_1586d173-13c7-4ae6-8432-f6813a2551fa.png?v=1756493613</t>
  </si>
  <si>
    <t xml:space="preserve">Fox- Stained Glass Style</t>
  </si>
  <si>
    <t xml:space="preserve">fox-stained-glass-style</t>
  </si>
  <si>
    <t xml:space="preserve">gid://shopify/Product/7789079134307</t>
  </si>
  <si>
    <t xml:space="preserve">gid://shopify/ProductVariant/43539841712227</t>
  </si>
  <si>
    <t xml:space="preserve">https://cdn.shopify.com/s/files/1/0572/0077/1171/files/Fox-StainedGlassStyle.png?v=1756498866</t>
  </si>
  <si>
    <t xml:space="preserve">Dragon- Stained Glass Style</t>
  </si>
  <si>
    <t xml:space="preserve">dragon-stained-glass-style</t>
  </si>
  <si>
    <t xml:space="preserve">gid://shopify/Product/7789146177635</t>
  </si>
  <si>
    <t xml:space="preserve">gid://shopify/ProductVariant/43539841286243</t>
  </si>
  <si>
    <t xml:space="preserve">https://cdn.shopify.com/s/files/1/0572/0077/1171/files/Dragon-StainedGlassStyle.png?v=1756498557</t>
  </si>
  <si>
    <t xml:space="preserve">Peacock- Stained Glass Style</t>
  </si>
  <si>
    <t xml:space="preserve">peacock-stained-glass-style</t>
  </si>
  <si>
    <t xml:space="preserve">gid://shopify/Product/7789174915171</t>
  </si>
  <si>
    <t xml:space="preserve">gid://shopify/ProductVariant/43539840925795</t>
  </si>
  <si>
    <t xml:space="preserve">https://cdn.shopify.com/s/files/1/0572/0077/1171/files/Artboard9_f2aa3d5d-d820-4824-b7dd-034417d3eec3.png?v=1756493591</t>
  </si>
  <si>
    <t xml:space="preserve">Piano- Stained Glass Style</t>
  </si>
  <si>
    <t xml:space="preserve">piano-stained-glass-style</t>
  </si>
  <si>
    <t xml:space="preserve">gid://shopify/Product/7789210435683</t>
  </si>
  <si>
    <t xml:space="preserve">gid://shopify/ProductVariant/43539840139363</t>
  </si>
  <si>
    <t xml:space="preserve">https://cdn.shopify.com/s/files/1/0572/0077/1171/files/Artboard9_138ac1b7-fd45-4e0e-b5ec-bcf20d5a3029.png?v=1756493638</t>
  </si>
  <si>
    <t xml:space="preserve">digital-piano-stained-glass</t>
  </si>
  <si>
    <t xml:space="preserve">/products/digital/final/piano-stained-glass.jpg</t>
  </si>
  <si>
    <t xml:space="preserve">Lighthouse- Stained Glass Style</t>
  </si>
  <si>
    <t xml:space="preserve">lighthouse-stained-glass-style</t>
  </si>
  <si>
    <t xml:space="preserve">gid://shopify/Product/7789275349091</t>
  </si>
  <si>
    <t xml:space="preserve">gid://shopify/ProductVariant/43539839451235</t>
  </si>
  <si>
    <t xml:space="preserve">https://cdn.shopify.com/s/files/1/0572/0077/1171/files/Lighthouse-StainedGlassStyle.png?v=1756547492</t>
  </si>
  <si>
    <t xml:space="preserve">digital-lighthouse-stained-glass</t>
  </si>
  <si>
    <t xml:space="preserve">/products/digital/final/lighthouse-stained-glass.jpg</t>
  </si>
  <si>
    <t xml:space="preserve">Yin Yang- Stained Glass Style</t>
  </si>
  <si>
    <t xml:space="preserve">yin-yang-stained-glass-style</t>
  </si>
  <si>
    <t xml:space="preserve">gid://shopify/Product/7789354942563</t>
  </si>
  <si>
    <t xml:space="preserve">Digital Art | Best Sellers | New Arrivals | Stained Glass Style | Cultural Arts- Digital</t>
  </si>
  <si>
    <t xml:space="preserve">gid://shopify/ProductVariant/43539837845603</t>
  </si>
  <si>
    <t xml:space="preserve">https://cdn.shopify.com/s/files/1/0572/0077/1171/files/Artboard6_dafd33ca-f549-42ec-8a25-1de139afb849.png?v=1756497423</t>
  </si>
  <si>
    <t xml:space="preserve">Cat- Stained Glass Style</t>
  </si>
  <si>
    <t xml:space="preserve">cat-stained-glass-style</t>
  </si>
  <si>
    <t xml:space="preserve">gid://shopify/Product/7789378469987</t>
  </si>
  <si>
    <t xml:space="preserve">gid://shopify/ProductVariant/43539837354083</t>
  </si>
  <si>
    <t xml:space="preserve">https://cdn.shopify.com/s/files/1/0572/0077/1171/files/Artboard_6_34f981dc-0550-4fb3-a2f9-4ff6c03f8be9.png?v=1756328053</t>
  </si>
  <si>
    <t xml:space="preserve">Lady- Stained Glass Style</t>
  </si>
  <si>
    <t xml:space="preserve">lady-stained-glass-style</t>
  </si>
  <si>
    <t xml:space="preserve">gid://shopify/Product/7789413040227</t>
  </si>
  <si>
    <t xml:space="preserve">6x9 inches @ 3500.00 (-1) | 8x12 inches @ 4200.00 (0) | 12x18 inches @ 5000.00 (0) | 16x24 inches @ 5600.00 (-2)</t>
  </si>
  <si>
    <t xml:space="preserve">gid://shopify/ProductVariant/43539836567651</t>
  </si>
  <si>
    <t xml:space="preserve">https://cdn.shopify.com/s/files/1/0572/0077/1171/files/Artboard9_68d40c18-d205-472e-b9eb-e1674354e87b.png?v=1756409979</t>
  </si>
  <si>
    <t xml:space="preserve">digital-lady-stained-glass</t>
  </si>
  <si>
    <t xml:space="preserve">/products/digital/final/lady-stained-glass.png</t>
  </si>
  <si>
    <t xml:space="preserve">Lady Variant 2- Stained Glass Style</t>
  </si>
  <si>
    <t xml:space="preserve">lady-variant-2-stained-glass-style</t>
  </si>
  <si>
    <t xml:space="preserve">gid://shopify/Product/7789454590051</t>
  </si>
  <si>
    <t xml:space="preserve">gid://shopify/ProductVariant/43539835846755</t>
  </si>
  <si>
    <t xml:space="preserve">https://cdn.shopify.com/s/files/1/0572/0077/1171/files/LadyVariant2-StainedGlassStyle.png?v=1756547368</t>
  </si>
  <si>
    <t xml:space="preserve">Geometric Set</t>
  </si>
  <si>
    <t xml:space="preserve">geometric-set</t>
  </si>
  <si>
    <t xml:space="preserve">gid://shopify/Product/7789664272483</t>
  </si>
  <si>
    <t xml:space="preserve">2D Wall-Art | Modern Art | Best Sellers | New Arrivals</t>
  </si>
  <si>
    <t xml:space="preserve">6x9 inches each panel @ 3500.00 (0) | 12x18 inches each panel @ 5000.00 (0)</t>
  </si>
  <si>
    <t xml:space="preserve">gid://shopify/ProductVariant/43346795135075</t>
  </si>
  <si>
    <t xml:space="preserve">https://cdn.shopify.com/s/files/1/0572/0077/1171/files/Geometric_Set.png?v=1756407059</t>
  </si>
  <si>
    <t xml:space="preserve">wall-geometric-set</t>
  </si>
  <si>
    <t xml:space="preserve">/products/wall-art/geometric-set.svg</t>
  </si>
  <si>
    <t xml:space="preserve">Geometric Set Variant 2</t>
  </si>
  <si>
    <t xml:space="preserve">geometric-set-variant-2</t>
  </si>
  <si>
    <t xml:space="preserve">gid://shopify/Product/7789704380515</t>
  </si>
  <si>
    <t xml:space="preserve">2D Wall-Art | Modern Art | New Arrivals</t>
  </si>
  <si>
    <t xml:space="preserve">gid://shopify/ProductVariant/43346841567331</t>
  </si>
  <si>
    <t xml:space="preserve">https://cdn.shopify.com/s/files/1/0572/0077/1171/files/Geometric_Set_Variant_2.png?v=1756407044</t>
  </si>
  <si>
    <t xml:space="preserve">wall-geometric-set-variant-2</t>
  </si>
  <si>
    <t xml:space="preserve">/products/wall-art/geometric-set-variant-2.svg</t>
  </si>
  <si>
    <t xml:space="preserve">Emotions Set</t>
  </si>
  <si>
    <t xml:space="preserve">emotions-set</t>
  </si>
  <si>
    <t xml:space="preserve">gid://shopify/Product/7789757595747</t>
  </si>
  <si>
    <t xml:space="preserve">gid://shopify/ProductVariant/43346901205091</t>
  </si>
  <si>
    <t xml:space="preserve">https://cdn.shopify.com/s/files/1/0572/0077/1171/files/Emotions_Set.png?v=1756388607</t>
  </si>
  <si>
    <t xml:space="preserve">wall-emotions-set</t>
  </si>
  <si>
    <t xml:space="preserve">/products/wall-art/emotions-set.svg</t>
  </si>
  <si>
    <t xml:space="preserve">Geometric Set Variant 3</t>
  </si>
  <si>
    <t xml:space="preserve">geometric-set-variant-3</t>
  </si>
  <si>
    <t xml:space="preserve">gid://shopify/Product/7789786464355</t>
  </si>
  <si>
    <t xml:space="preserve">gid://shopify/ProductVariant/43346934300771</t>
  </si>
  <si>
    <t xml:space="preserve">https://cdn.shopify.com/s/files/1/0572/0077/1171/files/Geometric_Set_Variant_3.png?v=1756407123</t>
  </si>
  <si>
    <t xml:space="preserve">wall-geometric-set-variant-3</t>
  </si>
  <si>
    <t xml:space="preserve">/products/wall-art/geometric-set-variant-3.svg</t>
  </si>
  <si>
    <t xml:space="preserve">Geometric Set Variant 4</t>
  </si>
  <si>
    <t xml:space="preserve">geometric-set-variant-4</t>
  </si>
  <si>
    <t xml:space="preserve">gid://shopify/Product/7789815005283</t>
  </si>
  <si>
    <t xml:space="preserve">gid://shopify/ProductVariant/43346966315107</t>
  </si>
  <si>
    <t xml:space="preserve">https://cdn.shopify.com/s/files/1/0572/0077/1171/files/Geometric_Set_Variant_4.png?v=1756407167</t>
  </si>
  <si>
    <t xml:space="preserve">wall-geometric-set-variant-4</t>
  </si>
  <si>
    <t xml:space="preserve">/products/wall-art/geometric-set-variant-4.svg</t>
  </si>
  <si>
    <t xml:space="preserve">Ripples Set</t>
  </si>
  <si>
    <t xml:space="preserve">ripples-set</t>
  </si>
  <si>
    <t xml:space="preserve">gid://shopify/Product/7789864616035</t>
  </si>
  <si>
    <t xml:space="preserve">6x12 inches each panel @ 4999.00 (0) | 9x18 inches each panel @ 7999.00 (0) | 12x24 inches each panel @ 9999.00 (0)</t>
  </si>
  <si>
    <t xml:space="preserve">gid://shopify/ProductVariant/43347021856867</t>
  </si>
  <si>
    <t xml:space="preserve">https://cdn.shopify.com/s/files/1/0572/0077/1171/files/Ripples_Set.png?v=1756494406</t>
  </si>
  <si>
    <t xml:space="preserve">wall-ripples-set</t>
  </si>
  <si>
    <t xml:space="preserve">/products/wall-art/ripples-set.svg</t>
  </si>
  <si>
    <t xml:space="preserve">Abstract faces</t>
  </si>
  <si>
    <t xml:space="preserve">abstract-faces</t>
  </si>
  <si>
    <t xml:space="preserve">gid://shopify/Product/7789935722595</t>
  </si>
  <si>
    <t xml:space="preserve">2D Wall-Art | New Arrivals</t>
  </si>
  <si>
    <t xml:space="preserve">gid://shopify/ProductVariant/43347107151971</t>
  </si>
  <si>
    <t xml:space="preserve">https://cdn.shopify.com/s/files/1/0572/0077/1171/files/Abstract_faces.png?v=1756235258</t>
  </si>
  <si>
    <t xml:space="preserve">wall-abstract-faces</t>
  </si>
  <si>
    <t xml:space="preserve">/products/wall-art/abstract-faces.svg</t>
  </si>
  <si>
    <t xml:space="preserve">Abstract faces Variant 2</t>
  </si>
  <si>
    <t xml:space="preserve">abstract-faces-variant-2</t>
  </si>
  <si>
    <t xml:space="preserve">gid://shopify/Product/7789972258915</t>
  </si>
  <si>
    <t xml:space="preserve">12x18 inches @ 5000.00 (-1) | 16x24 inches @ 5600.00 (-1)</t>
  </si>
  <si>
    <t xml:space="preserve">gid://shopify/ProductVariant/43347148079203</t>
  </si>
  <si>
    <t xml:space="preserve">https://cdn.shopify.com/s/files/1/0572/0077/1171/files/Abstract_faces_Variant_2.png?v=1756235317</t>
  </si>
  <si>
    <t xml:space="preserve">wall-abstract-faces-variant-2</t>
  </si>
  <si>
    <t xml:space="preserve">/products/wall-art/abstract-faces-variant-2.svg</t>
  </si>
  <si>
    <t xml:space="preserve">Heartbeat Set</t>
  </si>
  <si>
    <t xml:space="preserve">heartbeat-set</t>
  </si>
  <si>
    <t xml:space="preserve">gid://shopify/Product/7791564619875</t>
  </si>
  <si>
    <t xml:space="preserve">12x12 inches each panel @ 3999.00 (0) | 18x18 inches each panel @ 5999.00 (0) | 24x24 inches each panel @ 7999.00 (0)</t>
  </si>
  <si>
    <t xml:space="preserve">gid://shopify/ProductVariant/43348985774179</t>
  </si>
  <si>
    <t xml:space="preserve">https://cdn.shopify.com/s/files/1/0572/0077/1171/files/Heartbeat_Set.png?v=1756408092</t>
  </si>
  <si>
    <t xml:space="preserve">wall-heartbeat-set</t>
  </si>
  <si>
    <t xml:space="preserve">/products/wall-art/heartbeat-set.svg</t>
  </si>
  <si>
    <t xml:space="preserve">Mustang</t>
  </si>
  <si>
    <t xml:space="preserve">car-1</t>
  </si>
  <si>
    <t xml:space="preserve">gid://shopify/Product/7830569451619</t>
  </si>
  <si>
    <t xml:space="preserve">2D Wall-Art | New Arrivals | Cars</t>
  </si>
  <si>
    <t xml:space="preserve">9x24 inches @ 2899.00 (0) | 12x32 inches @ 3299.00 (0)</t>
  </si>
  <si>
    <t xml:space="preserve">gid://shopify/ProductVariant/43506610634851</t>
  </si>
  <si>
    <t xml:space="preserve">https://cdn.shopify.com/s/files/1/0572/0077/1171/files/Mustang.png?v=1756412631</t>
  </si>
  <si>
    <t xml:space="preserve">2025-07-02</t>
  </si>
  <si>
    <t xml:space="preserve">F1 formula car</t>
  </si>
  <si>
    <t xml:space="preserve">car-2</t>
  </si>
  <si>
    <t xml:space="preserve">gid://shopify/Product/7830570860643</t>
  </si>
  <si>
    <t xml:space="preserve">9x24 inches @ 2799.00 (0) | 12x32 inches @ 3699.00 (0)</t>
  </si>
  <si>
    <t xml:space="preserve">gid://shopify/ProductVariant/43506612797539</t>
  </si>
  <si>
    <t xml:space="preserve">https://cdn.shopify.com/s/files/1/0572/0077/1171/files/F1_formula_car.png?v=1756388900</t>
  </si>
  <si>
    <t xml:space="preserve">car-3</t>
  </si>
  <si>
    <t xml:space="preserve">gid://shopify/Product/7830571974755</t>
  </si>
  <si>
    <t xml:space="preserve">gid://shopify/ProductVariant/43506613977187</t>
  </si>
  <si>
    <t xml:space="preserve">https://cdn.shopify.com/s/files/1/0572/0077/1171/files/Ferrari.png?v=1756389369</t>
  </si>
  <si>
    <t xml:space="preserve">Mustang 2</t>
  </si>
  <si>
    <t xml:space="preserve">mustang-2</t>
  </si>
  <si>
    <t xml:space="preserve">gid://shopify/Product/7830574760035</t>
  </si>
  <si>
    <t xml:space="preserve">18x36 inches @ 3499.00 (0)</t>
  </si>
  <si>
    <t xml:space="preserve">gid://shopify/ProductVariant/43506629705827</t>
  </si>
  <si>
    <t xml:space="preserve">https://cdn.shopify.com/s/files/1/0572/0077/1171/files/Mustang_2.png?v=1756412667</t>
  </si>
  <si>
    <t xml:space="preserve">Supra</t>
  </si>
  <si>
    <t xml:space="preserve">car6</t>
  </si>
  <si>
    <t xml:space="preserve">gid://shopify/Product/7830574989411</t>
  </si>
  <si>
    <t xml:space="preserve">18x36 inches @ 3499.00 (-1)</t>
  </si>
  <si>
    <t xml:space="preserve">gid://shopify/ProductVariant/43506630131811</t>
  </si>
  <si>
    <t xml:space="preserve">https://cdn.shopify.com/s/files/1/0572/0077/1171/files/Supra.png?v=1756495904</t>
  </si>
  <si>
    <t xml:space="preserve">F1 Formula Car 2</t>
  </si>
  <si>
    <t xml:space="preserve">car-7</t>
  </si>
  <si>
    <t xml:space="preserve">gid://shopify/Product/7830575349859</t>
  </si>
  <si>
    <t xml:space="preserve">15x36 inches @ 3799.00 (0) | 10x24 inches @ 2799.00 (0)</t>
  </si>
  <si>
    <t xml:space="preserve">gid://shopify/ProductVariant/43506630656099</t>
  </si>
  <si>
    <t xml:space="preserve">https://cdn.shopify.com/s/files/1/0572/0077/1171/files/F1_Formula_Car_2.png?v=1756388942</t>
  </si>
  <si>
    <t xml:space="preserve">Ferrari Cutout</t>
  </si>
  <si>
    <t xml:space="preserve">ferrari-cutout</t>
  </si>
  <si>
    <t xml:space="preserve">gid://shopify/Product/7830577086563</t>
  </si>
  <si>
    <t xml:space="preserve">14x24 inches @ 2999.00 (0) | 21x36 inches @ 3499.00 (0)</t>
  </si>
  <si>
    <t xml:space="preserve">gid://shopify/ProductVariant/43506639110243</t>
  </si>
  <si>
    <t xml:space="preserve">https://cdn.shopify.com/s/files/1/0572/0077/1171/files/Ferrari_Cutout.png?v=1756389461</t>
  </si>
  <si>
    <t xml:space="preserve">Chevrolet</t>
  </si>
  <si>
    <t xml:space="preserve">ferrari-cutout-copy</t>
  </si>
  <si>
    <t xml:space="preserve">gid://shopify/Product/7830577152099</t>
  </si>
  <si>
    <t xml:space="preserve">16x24 inches @ 5600.00 (0) | 24x36 inches @ 3799.00 (0)</t>
  </si>
  <si>
    <t xml:space="preserve">gid://shopify/ProductVariant/43506639208547</t>
  </si>
  <si>
    <t xml:space="preserve">https://cdn.shopify.com/s/files/1/0572/0077/1171/files/Chevrolet.png?v=1756328091</t>
  </si>
  <si>
    <t xml:space="preserve">Nissan GTR 34</t>
  </si>
  <si>
    <t xml:space="preserve">chevrolet-copy</t>
  </si>
  <si>
    <t xml:space="preserve">gid://shopify/Product/7830578036835</t>
  </si>
  <si>
    <t xml:space="preserve">Digital Art | New Arrivals | Cars</t>
  </si>
  <si>
    <t xml:space="preserve">gid://shopify/ProductVariant/43539835388003</t>
  </si>
  <si>
    <t xml:space="preserve">https://cdn.shopify.com/s/files/1/0572/0077/1171/files/NissanGTR34.png?v=1756574068</t>
  </si>
  <si>
    <t xml:space="preserve">Audi A8</t>
  </si>
  <si>
    <t xml:space="preserve">audi-a8</t>
  </si>
  <si>
    <t xml:space="preserve">gid://shopify/Product/7830587048035</t>
  </si>
  <si>
    <t xml:space="preserve">gid://shopify/ProductVariant/43539834994787</t>
  </si>
  <si>
    <t xml:space="preserve">https://cdn.shopify.com/s/files/1/0572/0077/1171/files/AudiA8.png?v=1756498213</t>
  </si>
  <si>
    <t xml:space="preserve">Nissan GTR 35</t>
  </si>
  <si>
    <t xml:space="preserve">audi-a8-copy</t>
  </si>
  <si>
    <t xml:space="preserve">gid://shopify/Product/7830587277411</t>
  </si>
  <si>
    <t xml:space="preserve">gid://shopify/ProductVariant/43539834536035</t>
  </si>
  <si>
    <t xml:space="preserve">https://cdn.shopify.com/s/files/1/0572/0077/1171/files/NissanGTR35.png?v=1756574032</t>
  </si>
  <si>
    <t xml:space="preserve">Ferrari F8</t>
  </si>
  <si>
    <t xml:space="preserve">ferrari-2</t>
  </si>
  <si>
    <t xml:space="preserve">gid://shopify/Product/7830590357603</t>
  </si>
  <si>
    <t xml:space="preserve">12x24 inches @ 2999.00 (-1) | 18x36 inches @ 3499.00 (0)</t>
  </si>
  <si>
    <t xml:space="preserve">gid://shopify/ProductVariant/43506667389027</t>
  </si>
  <si>
    <t xml:space="preserve">https://cdn.shopify.com/s/files/1/0572/0077/1171/files/Ferrari_F8_c05af029-430f-4077-998e-0673b897a067.png?v=1756405509</t>
  </si>
  <si>
    <t xml:space="preserve">Zenitsu Version 2</t>
  </si>
  <si>
    <t xml:space="preserve">zenitsu-version-2</t>
  </si>
  <si>
    <t xml:space="preserve">gid://shopify/Product/7838638571619</t>
  </si>
  <si>
    <t xml:space="preserve">Anime/Manga | Digital Art | New Arrivals | Anime/Manga- Digital Art</t>
  </si>
  <si>
    <t xml:space="preserve">gid://shopify/ProductVariant/43539833028707</t>
  </si>
  <si>
    <t xml:space="preserve">https://cdn.shopify.com/s/files/1/0572/0077/1171/files/ZenitsuVersion2.png?v=1756575765</t>
  </si>
  <si>
    <t xml:space="preserve">2025-07-16</t>
  </si>
  <si>
    <t xml:space="preserve">Rengoku Version 1</t>
  </si>
  <si>
    <t xml:space="preserve">rengoku-version-1</t>
  </si>
  <si>
    <t xml:space="preserve">gid://shopify/Product/7838639849571</t>
  </si>
  <si>
    <t xml:space="preserve">gid://shopify/ProductVariant/43539831980131</t>
  </si>
  <si>
    <t xml:space="preserve">https://cdn.shopify.com/s/files/1/0572/0077/1171/files/Front_f8656230-e38f-4332-99fd-f2c7c9a0cc13.png?v=1756575181</t>
  </si>
  <si>
    <t xml:space="preserve">Tanjiro Version 1</t>
  </si>
  <si>
    <t xml:space="preserve">tanjiro-version-1</t>
  </si>
  <si>
    <t xml:space="preserve">gid://shopify/Product/7838642864227</t>
  </si>
  <si>
    <t xml:space="preserve">gid://shopify/ProductVariant/43539828899939</t>
  </si>
  <si>
    <t xml:space="preserve">https://cdn.shopify.com/s/files/1/0572/0077/1171/files/TanjiroVersion1.png?v=1756575547</t>
  </si>
  <si>
    <t xml:space="preserve">Ronaldo Celebration</t>
  </si>
  <si>
    <t xml:space="preserve">ronaldo-celebration</t>
  </si>
  <si>
    <t xml:space="preserve">gid://shopify/Product/7839975571555</t>
  </si>
  <si>
    <t xml:space="preserve">8x12 inches @ 4200.00 (0) | 12x18 inches @ 5000.00 (0) | 16x24 inches @ 5600.00 (0) | 24x36 inches @ 4999.00 (0)</t>
  </si>
  <si>
    <t xml:space="preserve">gid://shopify/ProductVariant/43534620917859</t>
  </si>
  <si>
    <t xml:space="preserve">https://cdn.shopify.com/s/files/1/0572/0077/1171/files/Ronaldo_Celebration_134c10bd-c7f4-424c-a1ae-08cdfb5a66ac.png?v=1756494648</t>
  </si>
  <si>
    <t xml:space="preserve">2025-07-18</t>
  </si>
  <si>
    <t xml:space="preserve">Ronaldo Calm Down</t>
  </si>
  <si>
    <t xml:space="preserve">ronaldo-calm-down</t>
  </si>
  <si>
    <t xml:space="preserve">gid://shopify/Product/7839976423523</t>
  </si>
  <si>
    <t xml:space="preserve">6x12 inches @ 1499.00 (0) | 7.5x18 inches @ 1999.00 (0) | 10x24 inches @ 2999.00 (0) | 15x36 inches @ 4999.00 (0)</t>
  </si>
  <si>
    <t xml:space="preserve">gid://shopify/ProductVariant/43534624260195</t>
  </si>
  <si>
    <t xml:space="preserve">https://cdn.shopify.com/s/files/1/0572/0077/1171/files/Ronaldo_Calm_Down.png?v=1756494594</t>
  </si>
  <si>
    <t xml:space="preserve">Ronaldo CR7</t>
  </si>
  <si>
    <t xml:space="preserve">ronaldo-cr7</t>
  </si>
  <si>
    <t xml:space="preserve">gid://shopify/Product/7839976980579</t>
  </si>
  <si>
    <t xml:space="preserve">9x12 inches @ 1599.00 (-1) | 12x16 inches @ 2599.00 (0) | 18x24 inches @ 5600.00 (-1)</t>
  </si>
  <si>
    <t xml:space="preserve">gid://shopify/ProductVariant/43534625439843</t>
  </si>
  <si>
    <t xml:space="preserve">https://cdn.shopify.com/s/files/1/0572/0077/1171/files/Ronaldo_CR7_1bfa376c-2f30-4e75-b2b3-8692de119f30.png?v=1756494670</t>
  </si>
  <si>
    <t xml:space="preserve">Itachi</t>
  </si>
  <si>
    <t xml:space="preserve">itachi</t>
  </si>
  <si>
    <t xml:space="preserve">gid://shopify/Product/7842009219171</t>
  </si>
  <si>
    <t xml:space="preserve">naruto</t>
  </si>
  <si>
    <t xml:space="preserve">Digital Art, naruto, Poster</t>
  </si>
  <si>
    <t xml:space="preserve">gid://shopify/ProductVariant/43541865562211</t>
  </si>
  <si>
    <t xml:space="preserve">https://cdn.shopify.com/s/files/1/0572/0077/1171/files/Itachi.png?v=1756408942</t>
  </si>
  <si>
    <t xml:space="preserve">2025-07-23</t>
  </si>
  <si>
    <t xml:space="preserve">Itachi and Sasuke</t>
  </si>
  <si>
    <t xml:space="preserve">itachi-copy</t>
  </si>
  <si>
    <t xml:space="preserve">gid://shopify/Product/7842009284707</t>
  </si>
  <si>
    <t xml:space="preserve">gid://shopify/ProductVariant/43541865758819</t>
  </si>
  <si>
    <t xml:space="preserve">https://cdn.shopify.com/s/files/1/0572/0077/1171/files/Itachi_and_Sasuke.png?v=1756408982</t>
  </si>
  <si>
    <t xml:space="preserve">Itachi Silhouette</t>
  </si>
  <si>
    <t xml:space="preserve">itachi-silhouette</t>
  </si>
  <si>
    <t xml:space="preserve">gid://shopify/Product/7842009808995</t>
  </si>
  <si>
    <t xml:space="preserve">gid://shopify/ProductVariant/43541866479715</t>
  </si>
  <si>
    <t xml:space="preserve">https://cdn.shopify.com/s/files/1/0572/0077/1171/files/Itachi_Silhouette.png?v=1756409085</t>
  </si>
  <si>
    <t xml:space="preserve">Itachi Silhouette 2</t>
  </si>
  <si>
    <t xml:space="preserve">itachi-silhouette-2</t>
  </si>
  <si>
    <t xml:space="preserve">gid://shopify/Product/7842010890339</t>
  </si>
  <si>
    <t xml:space="preserve">gid://shopify/ProductVariant/43541869330531</t>
  </si>
  <si>
    <t xml:space="preserve">https://cdn.shopify.com/s/files/1/0572/0077/1171/files/Itachi_Silhouette_2.png?v=1756409105</t>
  </si>
  <si>
    <t xml:space="preserve">Itachi Genjutsu Pose</t>
  </si>
  <si>
    <t xml:space="preserve">itachi-genjutsu-pose</t>
  </si>
  <si>
    <t xml:space="preserve">gid://shopify/Product/7842023571555</t>
  </si>
  <si>
    <t xml:space="preserve">gid://shopify/ProductVariant/43541899673699</t>
  </si>
  <si>
    <t xml:space="preserve">https://cdn.shopify.com/s/files/1/0572/0077/1171/files/Itachi_Genjutsu_Pose.png?v=1756409026</t>
  </si>
  <si>
    <t xml:space="preserve">Itachi Red</t>
  </si>
  <si>
    <t xml:space="preserve">itachi-red</t>
  </si>
  <si>
    <t xml:space="preserve">gid://shopify/Product/7842024620131</t>
  </si>
  <si>
    <t xml:space="preserve">gid://shopify/ProductVariant/43541901181027</t>
  </si>
  <si>
    <t xml:space="preserve">https://cdn.shopify.com/s/files/1/0572/0077/1171/files/ItachiRed_fdb6f8f4-45da-44bf-9ac4-9e6e6f19abd9.png?v=1756546350</t>
  </si>
  <si>
    <t xml:space="preserve">digital-itachi-red</t>
  </si>
  <si>
    <t xml:space="preserve">/products/digital/final/itachi-red.jpg</t>
  </si>
  <si>
    <t xml:space="preserve">Realistic Itachi 1</t>
  </si>
  <si>
    <t xml:space="preserve">itachi-live-action-style</t>
  </si>
  <si>
    <t xml:space="preserve">gid://shopify/Product/7842026946659</t>
  </si>
  <si>
    <t xml:space="preserve">gid://shopify/ProductVariant/43541906096227</t>
  </si>
  <si>
    <t xml:space="preserve">https://cdn.shopify.com/s/files/1/0572/0077/1171/files/Artboard_9_7e352fa3-3f2c-4bcd-a8f2-78d85a8ed4be.png?v=1756493985</t>
  </si>
  <si>
    <t xml:space="preserve">Realistic Itachi</t>
  </si>
  <si>
    <t xml:space="preserve">realistic-itachi</t>
  </si>
  <si>
    <t xml:space="preserve">gid://shopify/Product/7842027634787</t>
  </si>
  <si>
    <t xml:space="preserve">gid://shopify/ProductVariant/43541907505251</t>
  </si>
  <si>
    <t xml:space="preserve">https://cdn.shopify.com/s/files/1/0572/0077/1171/files/Artboard_9_b020a8ed-0d1b-42a0-a63b-ed63790a0fa3.png?v=1756493971</t>
  </si>
  <si>
    <t xml:space="preserve">Realistic Itachi Jutsu</t>
  </si>
  <si>
    <t xml:space="preserve">realistic-itachi-jutsu</t>
  </si>
  <si>
    <t xml:space="preserve">gid://shopify/Product/7842028257379</t>
  </si>
  <si>
    <t xml:space="preserve">gid://shopify/ProductVariant/43541908652131</t>
  </si>
  <si>
    <t xml:space="preserve">https://cdn.shopify.com/s/files/1/0572/0077/1171/files/Artboard_9_a148470e-2102-4985-8444-7dce250adf42.png?v=1756494018</t>
  </si>
  <si>
    <t xml:space="preserve">Realistic Itachi 2</t>
  </si>
  <si>
    <t xml:space="preserve">realistic-itachi-2</t>
  </si>
  <si>
    <t xml:space="preserve">gid://shopify/Product/7842028978275</t>
  </si>
  <si>
    <t xml:space="preserve">gid://shopify/ProductVariant/43541910028387</t>
  </si>
  <si>
    <t xml:space="preserve">https://cdn.shopify.com/s/files/1/0572/0077/1171/files/Artboard_6_eb07dce5-c676-4cd1-95ee-6076af7365e1.png?v=1756494001</t>
  </si>
  <si>
    <t xml:space="preserve">Realistic Itachi Sharingan</t>
  </si>
  <si>
    <t xml:space="preserve">realistic-itachi-sharingan</t>
  </si>
  <si>
    <t xml:space="preserve">gid://shopify/Product/7842029600867</t>
  </si>
  <si>
    <t xml:space="preserve">gid://shopify/ProductVariant/43541912748131</t>
  </si>
  <si>
    <t xml:space="preserve">https://cdn.shopify.com/s/files/1/0572/0077/1171/files/Artboard_9_4bf09d3f-3eed-45af-ab63-828c671a07b7.png?v=1756494110</t>
  </si>
  <si>
    <t xml:space="preserve">Realistic Itachi Portrait</t>
  </si>
  <si>
    <t xml:space="preserve">realistic-itachi-portrait</t>
  </si>
  <si>
    <t xml:space="preserve">gid://shopify/Product/7842031108195</t>
  </si>
  <si>
    <t xml:space="preserve">gid://shopify/ProductVariant/43541915041891</t>
  </si>
  <si>
    <t xml:space="preserve">https://cdn.shopify.com/s/files/1/0572/0077/1171/files/Artboard_6_e5e91f85-b4c7-46f4-a573-a5a9e01f6a13.png?v=1756494039</t>
  </si>
  <si>
    <t xml:space="preserve">Sharingan Kakashi</t>
  </si>
  <si>
    <t xml:space="preserve">sharingan-kakashi</t>
  </si>
  <si>
    <t xml:space="preserve">gid://shopify/Product/7842032451683</t>
  </si>
  <si>
    <t xml:space="preserve">gid://shopify/ProductVariant/43541917728867</t>
  </si>
  <si>
    <t xml:space="preserve">https://cdn.shopify.com/s/files/1/0572/0077/1171/files/Front_5dc86f81-3fdb-4456-ae6d-44911a386509.png?v=1753300217</t>
  </si>
  <si>
    <t xml:space="preserve">Minato</t>
  </si>
  <si>
    <t xml:space="preserve">minato</t>
  </si>
  <si>
    <t xml:space="preserve">gid://shopify/Product/7842032943203</t>
  </si>
  <si>
    <t xml:space="preserve">gid://shopify/ProductVariant/43541919400035</t>
  </si>
  <si>
    <t xml:space="preserve">https://cdn.shopify.com/s/files/1/0572/0077/1171/files/Minato.png?v=1756573519</t>
  </si>
  <si>
    <t xml:space="preserve">digital-minato</t>
  </si>
  <si>
    <t xml:space="preserve">/products/digital/final/minato.jpg</t>
  </si>
  <si>
    <t xml:space="preserve">Naruto Serenity</t>
  </si>
  <si>
    <t xml:space="preserve">naruto-serenity</t>
  </si>
  <si>
    <t xml:space="preserve">gid://shopify/Product/7842033500259</t>
  </si>
  <si>
    <t xml:space="preserve">gid://shopify/ProductVariant/43541920186467</t>
  </si>
  <si>
    <t xml:space="preserve">https://cdn.shopify.com/s/files/1/0572/0077/1171/files/Naruto_Serenity.png?v=1756412801</t>
  </si>
  <si>
    <t xml:space="preserve">Naruto Kyuubi Cloak</t>
  </si>
  <si>
    <t xml:space="preserve">naruto-kyuubi-cloak</t>
  </si>
  <si>
    <t xml:space="preserve">gid://shopify/Product/7842034483299</t>
  </si>
  <si>
    <t xml:space="preserve">gid://shopify/ProductVariant/43541924151395</t>
  </si>
  <si>
    <t xml:space="preserve">https://cdn.shopify.com/s/files/1/0572/0077/1171/files/Naruto_Kyuubi_Cloak.png?v=1756412748</t>
  </si>
  <si>
    <t xml:space="preserve">Realistic Naruto Kyuubi Sage Mode</t>
  </si>
  <si>
    <t xml:space="preserve">realistic-naruto-kyuubi-sage-mode</t>
  </si>
  <si>
    <t xml:space="preserve">gid://shopify/Product/7842035073123</t>
  </si>
  <si>
    <t xml:space="preserve">gid://shopify/ProductVariant/43541925331043</t>
  </si>
  <si>
    <t xml:space="preserve">https://cdn.shopify.com/s/files/1/0572/0077/1171/files/Artboard_6_c43587ef-374f-46f5-b079-7a18edaa03a6.png?v=1756494168</t>
  </si>
  <si>
    <t xml:space="preserve">Realistic Naruto Portrait</t>
  </si>
  <si>
    <t xml:space="preserve">realistic-naruto-portrait</t>
  </si>
  <si>
    <t xml:space="preserve">gid://shopify/Product/7842035859555</t>
  </si>
  <si>
    <t xml:space="preserve">gid://shopify/ProductVariant/43541927231587</t>
  </si>
  <si>
    <t xml:space="preserve">https://cdn.shopify.com/s/files/1/0572/0077/1171/files/Artboard_9_6193e3dc-a9fa-479a-b208-8fa669850dad.png?v=1756494192</t>
  </si>
  <si>
    <t xml:space="preserve">Realistic Kakashi Portrait</t>
  </si>
  <si>
    <t xml:space="preserve">realistic-kakashi-portrait</t>
  </si>
  <si>
    <t xml:space="preserve">gid://shopify/Product/7842036547683</t>
  </si>
  <si>
    <t xml:space="preserve">gid://shopify/ProductVariant/43541928247395</t>
  </si>
  <si>
    <t xml:space="preserve">https://cdn.shopify.com/s/files/1/0572/0077/1171/files/Artboard_6_df08ee2f-4b5e-494d-a19d-4d53b45a2f44.png?v=1756494127</t>
  </si>
  <si>
    <t xml:space="preserve">Naruto Sketch</t>
  </si>
  <si>
    <t xml:space="preserve">naruto-sketch</t>
  </si>
  <si>
    <t xml:space="preserve">gid://shopify/Product/7842036940899</t>
  </si>
  <si>
    <t xml:space="preserve">gid://shopify/ProductVariant/43541928902755</t>
  </si>
  <si>
    <t xml:space="preserve">https://cdn.shopify.com/s/files/1/0572/0077/1171/files/Artboard_6_7f5d75d4-6443-4275-9259-a199d177ce2d.png?v=1756412815</t>
  </si>
  <si>
    <t xml:space="preserve">Pain and Naruto</t>
  </si>
  <si>
    <t xml:space="preserve">pain-and-naruto</t>
  </si>
  <si>
    <t xml:space="preserve">gid://shopify/Product/7842037891171</t>
  </si>
  <si>
    <t xml:space="preserve">gid://shopify/ProductVariant/43541930475619</t>
  </si>
  <si>
    <t xml:space="preserve">https://cdn.shopify.com/s/files/1/0572/0077/1171/files/Pain_and_Naruto.png?v=1756493538</t>
  </si>
  <si>
    <t xml:space="preserve">Realistic Masked Obito</t>
  </si>
  <si>
    <t xml:space="preserve">realistic-masked-obito</t>
  </si>
  <si>
    <t xml:space="preserve">gid://shopify/Product/7842039496803</t>
  </si>
  <si>
    <t xml:space="preserve">gid://shopify/ProductVariant/43541932867683</t>
  </si>
  <si>
    <t xml:space="preserve">https://cdn.shopify.com/s/files/1/0572/0077/1171/files/RealisticMaskedObito_5841a4e2-736a-4f59-9f7a-4b0bff1b31ff.png?v=1756574411</t>
  </si>
  <si>
    <t xml:space="preserve">Masked Obito</t>
  </si>
  <si>
    <t xml:space="preserve">masked-obito</t>
  </si>
  <si>
    <t xml:space="preserve">gid://shopify/Product/7842041102435</t>
  </si>
  <si>
    <t xml:space="preserve">gid://shopify/ProductVariant/43541934669923</t>
  </si>
  <si>
    <t xml:space="preserve">https://cdn.shopify.com/s/files/1/0572/0077/1171/files/MaskedObito.png?v=1756554463</t>
  </si>
  <si>
    <t xml:space="preserve">Madara Uchiha</t>
  </si>
  <si>
    <t xml:space="preserve">madara-uchiha</t>
  </si>
  <si>
    <t xml:space="preserve">gid://shopify/Product/7842041987171</t>
  </si>
  <si>
    <t xml:space="preserve">gid://shopify/ProductVariant/43541936406627</t>
  </si>
  <si>
    <t xml:space="preserve">https://cdn.shopify.com/s/files/1/0572/0077/1171/files/MadaraUchiha.png?v=1756547830</t>
  </si>
  <si>
    <t xml:space="preserve">Madara Uchiha Red</t>
  </si>
  <si>
    <t xml:space="preserve">madara-uchiha-red</t>
  </si>
  <si>
    <t xml:space="preserve">gid://shopify/Product/7842042642531</t>
  </si>
  <si>
    <t xml:space="preserve">gid://shopify/ProductVariant/43541938143331</t>
  </si>
  <si>
    <t xml:space="preserve">https://cdn.shopify.com/s/files/1/0572/0077/1171/files/MadaraUchihaRed.png?v=1756547752</t>
  </si>
  <si>
    <t xml:space="preserve">Obito Sharingan and Rinnegan Eyes</t>
  </si>
  <si>
    <t xml:space="preserve">obito-sharingan-and-rinnegan-eyes</t>
  </si>
  <si>
    <t xml:space="preserve">gid://shopify/Product/7842043297891</t>
  </si>
  <si>
    <t xml:space="preserve">gid://shopify/ProductVariant/43541939585123</t>
  </si>
  <si>
    <t xml:space="preserve">https://cdn.shopify.com/s/files/1/0572/0077/1171/files/ObitoSharinganandRinneganEyes.png?v=1756574159</t>
  </si>
  <si>
    <t xml:space="preserve">Realistic Obito Art</t>
  </si>
  <si>
    <t xml:space="preserve">realistic-obito-art</t>
  </si>
  <si>
    <t xml:space="preserve">gid://shopify/Product/7842044051555</t>
  </si>
  <si>
    <t xml:space="preserve">gid://shopify/ProductVariant/43541941125219</t>
  </si>
  <si>
    <t xml:space="preserve">https://cdn.shopify.com/s/files/1/0572/0077/1171/files/Front_79594f04-d8f5-4632-b4a7-e3d0e563d1ec.png?v=1756574362</t>
  </si>
  <si>
    <t xml:space="preserve">Obito Serenity</t>
  </si>
  <si>
    <t xml:space="preserve">obito-serenity</t>
  </si>
  <si>
    <t xml:space="preserve">gid://shopify/Product/7842044805219</t>
  </si>
  <si>
    <t xml:space="preserve">gid://shopify/ProductVariant/43541942894691</t>
  </si>
  <si>
    <t xml:space="preserve">https://cdn.shopify.com/s/files/1/0572/0077/1171/files/Obito_Serenity.png?v=1756493179</t>
  </si>
  <si>
    <t xml:space="preserve">Obito Teleporting</t>
  </si>
  <si>
    <t xml:space="preserve">obito-teleporting</t>
  </si>
  <si>
    <t xml:space="preserve">gid://shopify/Product/7842045329507</t>
  </si>
  <si>
    <t xml:space="preserve">gid://shopify/ProductVariant/43541943615587</t>
  </si>
  <si>
    <t xml:space="preserve">https://cdn.shopify.com/s/files/1/0572/0077/1171/files/Obito_Teleporting.png?v=1756493238</t>
  </si>
  <si>
    <t xml:space="preserve">Obito Sharingan Awakening</t>
  </si>
  <si>
    <t xml:space="preserve">obito-sharingan-awakening</t>
  </si>
  <si>
    <t xml:space="preserve">gid://shopify/Product/7842045755491</t>
  </si>
  <si>
    <t xml:space="preserve">gid://shopify/ProductVariant/43541944139875</t>
  </si>
  <si>
    <t xml:space="preserve">https://cdn.shopify.com/s/files/1/0572/0077/1171/files/Obito_Sharingan_Awakening.png?v=1756493216</t>
  </si>
  <si>
    <t xml:space="preserve">Masked Obito Sharingan</t>
  </si>
  <si>
    <t xml:space="preserve">masked-obito-sharingan</t>
  </si>
  <si>
    <t xml:space="preserve">gid://shopify/Product/7842047033443</t>
  </si>
  <si>
    <t xml:space="preserve">gid://shopify/ProductVariant/43541946368099</t>
  </si>
  <si>
    <t xml:space="preserve">https://cdn.shopify.com/s/files/1/0572/0077/1171/files/MaskedObitoSharingan.png?v=1756547885</t>
  </si>
  <si>
    <t xml:space="preserve">Obito Art Portrait</t>
  </si>
  <si>
    <t xml:space="preserve">obito-art-portrait</t>
  </si>
  <si>
    <t xml:space="preserve">gid://shopify/Product/7842048180323</t>
  </si>
  <si>
    <t xml:space="preserve">6x9 inches @ 3500.00 (-1) | 8x12 inches @ 4200.00 (0) | 12x18 inches @ 5000.00 (0) | 16x24 inches @ 5600.00 (0)</t>
  </si>
  <si>
    <t xml:space="preserve">gid://shopify/ProductVariant/43541948399715</t>
  </si>
  <si>
    <t xml:space="preserve">https://cdn.shopify.com/s/files/1/0572/0077/1171/files/Artboard_6_068be476-aa54-43d9-ac80-4855e99b8d9d.png?v=1756493077</t>
  </si>
  <si>
    <t xml:space="preserve">digital-obito-art-portrait</t>
  </si>
  <si>
    <t xml:space="preserve">/products/digital/final/obito-art-portrait.jpg</t>
  </si>
  <si>
    <t xml:space="preserve">Realistic Obito Sharingan</t>
  </si>
  <si>
    <t xml:space="preserve">realistic-obito-sharingan</t>
  </si>
  <si>
    <t xml:space="preserve">gid://shopify/Product/7842050080867</t>
  </si>
  <si>
    <t xml:space="preserve">gid://shopify/ProductVariant/43541952659555</t>
  </si>
  <si>
    <t xml:space="preserve">https://cdn.shopify.com/s/files/1/0572/0077/1171/files/Artboard_6_272a6261-6619-4d06-be52-c4be9c803660.png?v=1756494217</t>
  </si>
  <si>
    <t xml:space="preserve">Pain</t>
  </si>
  <si>
    <t xml:space="preserve">pain</t>
  </si>
  <si>
    <t xml:space="preserve">gid://shopify/Product/7842050965603</t>
  </si>
  <si>
    <t xml:space="preserve">gid://shopify/ProductVariant/43541954068579</t>
  </si>
  <si>
    <t xml:space="preserve">https://cdn.shopify.com/s/files/1/0572/0077/1171/files/Pain.png?v=1756493513</t>
  </si>
  <si>
    <t xml:space="preserve">digital-pain</t>
  </si>
  <si>
    <t xml:space="preserve">/products/digital/final/pain.jpg</t>
  </si>
  <si>
    <t xml:space="preserve">Pain Rinnegan BG</t>
  </si>
  <si>
    <t xml:space="preserve">pain-rinnegan-bg</t>
  </si>
  <si>
    <t xml:space="preserve">gid://shopify/Product/7842051719267</t>
  </si>
  <si>
    <t xml:space="preserve">gid://shopify/ProductVariant/43541954822243</t>
  </si>
  <si>
    <t xml:space="preserve">https://cdn.shopify.com/s/files/1/0572/0077/1171/files/Pain_Rinnegan_BG.png?v=1756493571</t>
  </si>
  <si>
    <t xml:space="preserve">Pain Portrait</t>
  </si>
  <si>
    <t xml:space="preserve">pain-rinnegan-bg-copy</t>
  </si>
  <si>
    <t xml:space="preserve">gid://shopify/Product/7842052702307</t>
  </si>
  <si>
    <t xml:space="preserve">gid://shopify/ProductVariant/43541955805283</t>
  </si>
  <si>
    <t xml:space="preserve">https://cdn.shopify.com/s/files/1/0572/0077/1171/files/Artboard_6_19847019-166e-4c57-8dfe-158656a4f2c7.png?v=1756493552</t>
  </si>
  <si>
    <t xml:space="preserve">Itachi- Red Background</t>
  </si>
  <si>
    <t xml:space="preserve">itachi-red-background</t>
  </si>
  <si>
    <t xml:space="preserve">gid://shopify/Product/7852702662755</t>
  </si>
  <si>
    <t xml:space="preserve">gid://shopify/ProductVariant/43579486240867</t>
  </si>
  <si>
    <t xml:space="preserve">https://cdn.shopify.com/s/files/1/0572/0077/1171/files/Itachi-RedBackground.png?v=1756546544</t>
  </si>
  <si>
    <t xml:space="preserve">2025-08-07</t>
  </si>
  <si>
    <t xml:space="preserve">Itachi- Aura</t>
  </si>
  <si>
    <t xml:space="preserve">itachi-aura</t>
  </si>
  <si>
    <t xml:space="preserve">gid://shopify/Product/7852706922595</t>
  </si>
  <si>
    <t xml:space="preserve">gid://shopify/ProductVariant/43579491582051</t>
  </si>
  <si>
    <t xml:space="preserve">https://cdn.shopify.com/s/files/1/0572/0077/1171/files/Itachi-Aura.png?v=1756546386</t>
  </si>
  <si>
    <t xml:space="preserve">Itachi- Black on Red</t>
  </si>
  <si>
    <t xml:space="preserve">itachi-black-on-red</t>
  </si>
  <si>
    <t xml:space="preserve">gid://shopify/Product/7852708692067</t>
  </si>
  <si>
    <t xml:space="preserve">gid://shopify/ProductVariant/43579493744739</t>
  </si>
  <si>
    <t xml:space="preserve">https://cdn.shopify.com/s/files/1/0572/0077/1171/files/Itachi-BlackonRed.png?v=1756546488</t>
  </si>
  <si>
    <t xml:space="preserve">Itachi- White Background</t>
  </si>
  <si>
    <t xml:space="preserve">itachi-white-background</t>
  </si>
  <si>
    <t xml:space="preserve">gid://shopify/Product/7852711346275</t>
  </si>
  <si>
    <t xml:space="preserve">gid://shopify/ProductVariant/43579497709667</t>
  </si>
  <si>
    <t xml:space="preserve">https://cdn.shopify.com/s/files/1/0572/0077/1171/files/Itachi-WhiteBackground.png?v=1756546665</t>
  </si>
  <si>
    <t xml:space="preserve">Itachi- Black and White</t>
  </si>
  <si>
    <t xml:space="preserve">itachi-black-and-white</t>
  </si>
  <si>
    <t xml:space="preserve">gid://shopify/Product/7852713017443</t>
  </si>
  <si>
    <t xml:space="preserve">gid://shopify/ProductVariant/43579499839587</t>
  </si>
  <si>
    <t xml:space="preserve">https://cdn.shopify.com/s/files/1/0572/0077/1171/files/Itachi-BlackandWhite.png?v=1756546450</t>
  </si>
  <si>
    <t xml:space="preserve">Itachi- Sharingan White BG</t>
  </si>
  <si>
    <t xml:space="preserve">itachi-sharingan-white-bg</t>
  </si>
  <si>
    <t xml:space="preserve">gid://shopify/Product/7852715212899</t>
  </si>
  <si>
    <t xml:space="preserve">gid://shopify/ProductVariant/43579502198883</t>
  </si>
  <si>
    <t xml:space="preserve">https://cdn.shopify.com/s/files/1/0572/0077/1171/files/Itachi-SharinganWhiteBG.png?v=1756546598</t>
  </si>
  <si>
    <t xml:space="preserve">Jiraiya Poster Art</t>
  </si>
  <si>
    <t xml:space="preserve">jiraiya-poster-art</t>
  </si>
  <si>
    <t xml:space="preserve">gid://shopify/Product/7852717867107</t>
  </si>
  <si>
    <t xml:space="preserve">gid://shopify/ProductVariant/43579506393187</t>
  </si>
  <si>
    <t xml:space="preserve">https://cdn.shopify.com/s/files/1/0572/0077/1171/files/Artboard9_f95f4306-5f4c-4365-a39a-85b9ddd19b25.png?v=1756409244</t>
  </si>
  <si>
    <t xml:space="preserve">Jiraiya and Pain</t>
  </si>
  <si>
    <t xml:space="preserve">jiraiya-and-pain</t>
  </si>
  <si>
    <t xml:space="preserve">gid://shopify/Product/7852719308899</t>
  </si>
  <si>
    <t xml:space="preserve">gid://shopify/ProductVariant/43579508424803</t>
  </si>
  <si>
    <t xml:space="preserve">https://cdn.shopify.com/s/files/1/0572/0077/1171/files/JiraiyaandPain.png?v=1756546764</t>
  </si>
  <si>
    <t xml:space="preserve">Jiraiya- The Sage</t>
  </si>
  <si>
    <t xml:space="preserve">jiraiya-the-sage</t>
  </si>
  <si>
    <t xml:space="preserve">gid://shopify/Product/7852721537123</t>
  </si>
  <si>
    <t xml:space="preserve">6x9 inches @ 3500.00 (0) | 8x12 inches @ 4200.00 (0) | 12x18 inches @ 5000.00 (0) | 18x24 inches @ 5600.00 (-26)</t>
  </si>
  <si>
    <t xml:space="preserve">gid://shopify/ProductVariant/43579511406691</t>
  </si>
  <si>
    <t xml:space="preserve">https://cdn.shopify.com/s/files/1/0572/0077/1171/files/Jiraiya-TheSage.png?v=1756547299</t>
  </si>
  <si>
    <t xml:space="preserve">Jiraiya- Fan Art</t>
  </si>
  <si>
    <t xml:space="preserve">jiraiya-fan-art</t>
  </si>
  <si>
    <t xml:space="preserve">gid://shopify/Product/7852723273827</t>
  </si>
  <si>
    <t xml:space="preserve">gid://shopify/ProductVariant/43579513634915</t>
  </si>
  <si>
    <t xml:space="preserve">https://cdn.shopify.com/s/files/1/0572/0077/1171/files/Artboard6_9c56a55a-3143-4d02-afde-764300cfc2dd.png?v=1756409256</t>
  </si>
  <si>
    <t xml:space="preserve">Jiraiya- Sage Mode</t>
  </si>
  <si>
    <t xml:space="preserve">jiraiya-sage-mode</t>
  </si>
  <si>
    <t xml:space="preserve">gid://shopify/Product/7852725370979</t>
  </si>
  <si>
    <t xml:space="preserve">gid://shopify/ProductVariant/43579516452963</t>
  </si>
  <si>
    <t xml:space="preserve">https://cdn.shopify.com/s/files/1/0572/0077/1171/files/Artboard6_70757918-1af8-49a0-a0c0-6633e07eb633.png?v=1756409272</t>
  </si>
  <si>
    <t xml:space="preserve">Jiraiya- Teacher and Student</t>
  </si>
  <si>
    <t xml:space="preserve">jiraiya-teacher-and-student</t>
  </si>
  <si>
    <t xml:space="preserve">gid://shopify/Product/7852727631971</t>
  </si>
  <si>
    <t xml:space="preserve">gid://shopify/ProductVariant/43579519008867</t>
  </si>
  <si>
    <t xml:space="preserve">https://cdn.shopify.com/s/files/1/0572/0077/1171/files/Jiraiya-TeacherandStudent.png?v=1756547110</t>
  </si>
  <si>
    <t xml:space="preserve">Kakashi Poster</t>
  </si>
  <si>
    <t xml:space="preserve">kakashi-poster</t>
  </si>
  <si>
    <t xml:space="preserve">gid://shopify/Product/7852729892963</t>
  </si>
  <si>
    <t xml:space="preserve">gid://shopify/ProductVariant/43579524284515</t>
  </si>
  <si>
    <t xml:space="preserve">https://cdn.shopify.com/s/files/1/0572/0077/1171/files/Artboard9_66b5cc31-0bf4-4ca4-8b08-745bc01b1f16.png?v=1756409881</t>
  </si>
  <si>
    <t xml:space="preserve">Madara Sharingan Background</t>
  </si>
  <si>
    <t xml:space="preserve">madara-sharingan-background</t>
  </si>
  <si>
    <t xml:space="preserve">gid://shopify/Product/7852731662435</t>
  </si>
  <si>
    <t xml:space="preserve">gid://shopify/ProductVariant/43579526185059</t>
  </si>
  <si>
    <t xml:space="preserve">https://cdn.shopify.com/s/files/1/0572/0077/1171/files/Artboard6_a44032e4-130d-4f2f-86a6-1422a3026618.png?v=1756411618</t>
  </si>
  <si>
    <t xml:space="preserve">Madara Susanoo and Hashirama</t>
  </si>
  <si>
    <t xml:space="preserve">madara-susanoo-and-hashirama</t>
  </si>
  <si>
    <t xml:space="preserve">gid://shopify/Product/7852734414947</t>
  </si>
  <si>
    <t xml:space="preserve">gid://shopify/ProductVariant/43579530084451</t>
  </si>
  <si>
    <t xml:space="preserve">https://cdn.shopify.com/s/files/1/0572/0077/1171/files/Artboard6_ab6e8790-8225-41b7-965c-a9c46e133236.png?v=1756411660</t>
  </si>
  <si>
    <t xml:space="preserve">Enraged Madara Art</t>
  </si>
  <si>
    <t xml:space="preserve">enraged-madara-art</t>
  </si>
  <si>
    <t xml:space="preserve">gid://shopify/Product/7853971931235</t>
  </si>
  <si>
    <t xml:space="preserve">gid://shopify/ProductVariant/43581899341923</t>
  </si>
  <si>
    <t xml:space="preserve">https://cdn.shopify.com/s/files/1/0572/0077/1171/files/EnragedMadaraArt.png?v=1756498662</t>
  </si>
  <si>
    <t xml:space="preserve">2025-08-08</t>
  </si>
  <si>
    <t xml:space="preserve">Madara Poster</t>
  </si>
  <si>
    <t xml:space="preserve">madara-poster</t>
  </si>
  <si>
    <t xml:space="preserve">gid://shopify/Product/7853981237347</t>
  </si>
  <si>
    <t xml:space="preserve">gid://shopify/ProductVariant/43581916479587</t>
  </si>
  <si>
    <t xml:space="preserve">https://cdn.shopify.com/s/files/1/0572/0077/1171/files/MadaraPoster.png?v=1756547537</t>
  </si>
  <si>
    <t xml:space="preserve">Madara Susanoo</t>
  </si>
  <si>
    <t xml:space="preserve">madara-susanoo</t>
  </si>
  <si>
    <t xml:space="preserve">gid://shopify/Product/7853983531107</t>
  </si>
  <si>
    <t xml:space="preserve">gid://shopify/ProductVariant/43581920411747</t>
  </si>
  <si>
    <t xml:space="preserve">https://cdn.shopify.com/s/files/1/0572/0077/1171/files/Artboard_6_c13da994-fc5b-4eae-8178-ce5a7d762c21.png?v=1756411647</t>
  </si>
  <si>
    <t xml:space="preserve">Madara Sharingan Wake Up To Reality</t>
  </si>
  <si>
    <t xml:space="preserve">madara-sharingan-wake-up-to-reality</t>
  </si>
  <si>
    <t xml:space="preserve">gid://shopify/Product/7853989658723</t>
  </si>
  <si>
    <t xml:space="preserve">gid://shopify/ProductVariant/43581937057891</t>
  </si>
  <si>
    <t xml:space="preserve">https://cdn.shopify.com/s/files/1/0572/0077/1171/files/Artboard_9_a00c344e-a457-4bbe-9e55-31f79945e278.png?v=1756411632</t>
  </si>
  <si>
    <t xml:space="preserve">Madara Uchiha Blood Moon</t>
  </si>
  <si>
    <t xml:space="preserve">madara-uchiha-blood-moon</t>
  </si>
  <si>
    <t xml:space="preserve">gid://shopify/Product/7853992050787</t>
  </si>
  <si>
    <t xml:space="preserve">gid://shopify/ProductVariant/43581943447651</t>
  </si>
  <si>
    <t xml:space="preserve">https://cdn.shopify.com/s/files/1/0572/0077/1171/files/MadaraUchihaBloodMoon.png?v=1756547725</t>
  </si>
  <si>
    <t xml:space="preserve">Madara Uchiha Susanoo Blue</t>
  </si>
  <si>
    <t xml:space="preserve">madara-uchiha-susanoo-blue</t>
  </si>
  <si>
    <t xml:space="preserve">gid://shopify/Product/7853994639459</t>
  </si>
  <si>
    <t xml:space="preserve">gid://shopify/ProductVariant/43581949411427</t>
  </si>
  <si>
    <t xml:space="preserve">https://cdn.shopify.com/s/files/1/0572/0077/1171/files/Artboard_9_f8b46dfa-8113-4fc1-ab32-9c061c11bd26.png?v=1756411728</t>
  </si>
  <si>
    <t xml:space="preserve">Naruto in the Dark</t>
  </si>
  <si>
    <t xml:space="preserve">naruto-in-the-dark</t>
  </si>
  <si>
    <t xml:space="preserve">gid://shopify/Product/7853995950179</t>
  </si>
  <si>
    <t xml:space="preserve">gid://shopify/ProductVariant/43581953278051</t>
  </si>
  <si>
    <t xml:space="preserve">https://cdn.shopify.com/s/files/1/0572/0077/1171/files/NarutointheDark.png?v=1756573765</t>
  </si>
  <si>
    <t xml:space="preserve">digital-naruto-in-the-dark</t>
  </si>
  <si>
    <t xml:space="preserve">/products/digital/final/naruto-in-the-dark.jpg</t>
  </si>
  <si>
    <t xml:space="preserve">Sharingans of the Uchihas</t>
  </si>
  <si>
    <t xml:space="preserve">sharingans-of-the-uchihas</t>
  </si>
  <si>
    <t xml:space="preserve">gid://shopify/Product/7853996507235</t>
  </si>
  <si>
    <t xml:space="preserve">gid://shopify/ProductVariant/43581954261091</t>
  </si>
  <si>
    <t xml:space="preserve">https://cdn.shopify.com/s/files/1/0572/0077/1171/files/Artboard_6_14b1012f-46c7-4bd5-8ef1-2de402219942.png?v=1756494865</t>
  </si>
  <si>
    <t xml:space="preserve">Jiraiya and Naruto Sillhouette</t>
  </si>
  <si>
    <t xml:space="preserve">jiraiya-and-naruto-sillhouette</t>
  </si>
  <si>
    <t xml:space="preserve">gid://shopify/Product/7853998047331</t>
  </si>
  <si>
    <t xml:space="preserve">gid://shopify/ProductVariant/43581958652003</t>
  </si>
  <si>
    <t xml:space="preserve">https://cdn.shopify.com/s/files/1/0572/0077/1171/files/JiraiyaandNarutoSillhouette.png?v=1756546703</t>
  </si>
  <si>
    <t xml:space="preserve">Obito Forms</t>
  </si>
  <si>
    <t xml:space="preserve">obito-forms</t>
  </si>
  <si>
    <t xml:space="preserve">gid://shopify/Product/7854000767075</t>
  </si>
  <si>
    <t xml:space="preserve">gid://shopify/ProductVariant/43581967007843</t>
  </si>
  <si>
    <t xml:space="preserve">https://cdn.shopify.com/s/files/1/0572/0077/1171/files/Artboard_9_37ef70fc-7dc7-46e2-827f-e6220487119c.png?v=1756493107</t>
  </si>
  <si>
    <t xml:space="preserve">Obito's Heart</t>
  </si>
  <si>
    <t xml:space="preserve">obitos-heart</t>
  </si>
  <si>
    <t xml:space="preserve">gid://shopify/Product/7854002929763</t>
  </si>
  <si>
    <t xml:space="preserve">gid://shopify/ProductVariant/43581969989731</t>
  </si>
  <si>
    <t xml:space="preserve">https://cdn.shopify.com/s/files/1/0572/0077/1171/files/Artboard_6_2a60d1ae-9cd6-4eaa-9f1d-b12634a2e7b3.png?v=1756493251</t>
  </si>
  <si>
    <t xml:space="preserve">Obito's Rage</t>
  </si>
  <si>
    <t xml:space="preserve">obitos-rage</t>
  </si>
  <si>
    <t xml:space="preserve">gid://shopify/Product/7854005223523</t>
  </si>
  <si>
    <t xml:space="preserve">gid://shopify/ProductVariant/43581973987427</t>
  </si>
  <si>
    <t xml:space="preserve">https://cdn.shopify.com/s/files/1/0572/0077/1171/files/Artboard_9_9cfd6249-aa11-49d8-ab05-4d037696f573.png?v=1756493266</t>
  </si>
  <si>
    <t xml:space="preserve">Madara Uchiha Reincarnation</t>
  </si>
  <si>
    <t xml:space="preserve">madara-uchiha-reincarnation</t>
  </si>
  <si>
    <t xml:space="preserve">gid://shopify/Product/7854028652643</t>
  </si>
  <si>
    <t xml:space="preserve">2D Wall-Art | Anime/Manga- 2D | Naruto</t>
  </si>
  <si>
    <t xml:space="preserve">gid://shopify/ProductVariant/43582017110115</t>
  </si>
  <si>
    <t xml:space="preserve">https://cdn.shopify.com/s/files/1/0572/0077/1171/files/Madara_Uchiha_Reincarnation.png?v=1756411716</t>
  </si>
  <si>
    <t xml:space="preserve">Madara Face Portrait Cutout</t>
  </si>
  <si>
    <t xml:space="preserve">madara-face-portrait-cutout</t>
  </si>
  <si>
    <t xml:space="preserve">gid://shopify/Product/7854028882019</t>
  </si>
  <si>
    <t xml:space="preserve">gid://shopify/ProductVariant/43582017798243</t>
  </si>
  <si>
    <t xml:space="preserve">https://cdn.shopify.com/s/files/1/0572/0077/1171/files/Madara_Face_Portrait_Cutout.png?v=1756411500</t>
  </si>
  <si>
    <t xml:space="preserve">Madara Reincarnated Face Portrait Cutout</t>
  </si>
  <si>
    <t xml:space="preserve">madara-reincarnated-face-portrait-cutout</t>
  </si>
  <si>
    <t xml:space="preserve">gid://shopify/Product/7854029308003</t>
  </si>
  <si>
    <t xml:space="preserve">gid://shopify/ProductVariant/43582018519139</t>
  </si>
  <si>
    <t xml:space="preserve">https://cdn.shopify.com/s/files/1/0572/0077/1171/files/Madara_Reincarnated_Face_Portrait_Cutout.png?v=1756411587</t>
  </si>
  <si>
    <t xml:space="preserve">Realistic Demon Slayer Rengoku</t>
  </si>
  <si>
    <t xml:space="preserve">realistic-demon-slayer-rengoku</t>
  </si>
  <si>
    <t xml:space="preserve">gid://shopify/Product/7872839778403</t>
  </si>
  <si>
    <t xml:space="preserve">gid://shopify/ProductVariant/43656970076259</t>
  </si>
  <si>
    <t xml:space="preserve">https://cdn.shopify.com/s/files/1/0572/0077/1171/files/RengokuDemonSlayer.png?v=1756575149</t>
  </si>
  <si>
    <t xml:space="preserve">2025-08-30</t>
  </si>
  <si>
    <t xml:space="preserve">Joker Disobey</t>
  </si>
  <si>
    <t xml:space="preserve">joker-disobey</t>
  </si>
  <si>
    <t xml:space="preserve">gid://shopify/Product/7880931704931</t>
  </si>
  <si>
    <t xml:space="preserve">Poster</t>
  </si>
  <si>
    <t xml:space="preserve">Comics and Superheroes | Personalities | Movies | Digital Art | Comics/Superheroes/Movies- Digital Art</t>
  </si>
  <si>
    <t xml:space="preserve">gid://shopify/ProductVariant/43689364455523</t>
  </si>
  <si>
    <t xml:space="preserve">https://cdn.shopify.com/s/files/1/0572/0077/1171/files/Joker-Disobey.png?v=1757619343</t>
  </si>
  <si>
    <t xml:space="preserve">2025-09-11</t>
  </si>
  <si>
    <t xml:space="preserve">Joker Black and White</t>
  </si>
  <si>
    <t xml:space="preserve">joker-black-and-white</t>
  </si>
  <si>
    <t xml:space="preserve">gid://shopify/Product/7880933867619</t>
  </si>
  <si>
    <t xml:space="preserve">gid://shopify/ProductVariant/43689368420451</t>
  </si>
  <si>
    <t xml:space="preserve">https://cdn.shopify.com/s/files/1/0572/0077/1171/files/Joker-Black-White.png?v=1757619522</t>
  </si>
  <si>
    <t xml:space="preserve">Naaz- Smoking Lady</t>
  </si>
  <si>
    <t xml:space="preserve">naaz-smoking-lady</t>
  </si>
  <si>
    <t xml:space="preserve">gid://shopify/Product/7890516344931</t>
  </si>
  <si>
    <t xml:space="preserve">Digital Art, Poster, Smoking Lady</t>
  </si>
  <si>
    <t xml:space="preserve">Digital Art | Smoking Lady</t>
  </si>
  <si>
    <t xml:space="preserve">gid://shopify/ProductVariant/43749453758563</t>
  </si>
  <si>
    <t xml:space="preserve">https://cdn.shopify.com/s/files/1/0572/0077/1171/files/1_fc9f2b60-f61a-40f2-8a3f-0052c85c7a30.png?v=1758912135</t>
  </si>
  <si>
    <t xml:space="preserve">2025-09-26</t>
  </si>
  <si>
    <t xml:space="preserve">Luminous Rebel- Neon Smoking Lady</t>
  </si>
  <si>
    <t xml:space="preserve">luminous-rebel-neon-smoking-lady</t>
  </si>
  <si>
    <t xml:space="preserve">gid://shopify/Product/7890517295203</t>
  </si>
  <si>
    <t xml:space="preserve">gid://shopify/ProductVariant/43749458083939</t>
  </si>
  <si>
    <t xml:space="preserve">https://cdn.shopify.com/s/files/1/0572/0077/1171/files/2_1c340874-160f-4cba-b285-c15ba8200f2b.png?v=1758912354</t>
  </si>
  <si>
    <t xml:space="preserve">Retro Rebel- Neon Smoking Lady</t>
  </si>
  <si>
    <t xml:space="preserve">retro-rebel-neon-smoking-lady</t>
  </si>
  <si>
    <t xml:space="preserve">gid://shopify/Product/7890519097443</t>
  </si>
  <si>
    <t xml:space="preserve">gid://shopify/ProductVariant/43749479940195</t>
  </si>
  <si>
    <t xml:space="preserve">https://cdn.shopify.com/s/files/1/0572/0077/1171/files/3_2b27f98c-551d-4d52-8e75-8a6b5fc551f9.png?v=1758912838</t>
  </si>
  <si>
    <t xml:space="preserve">Cyan Ember- Neon Smoking Lady</t>
  </si>
  <si>
    <t xml:space="preserve">cyan-ember-neon-smoking-lady</t>
  </si>
  <si>
    <t xml:space="preserve">gid://shopify/Product/7890519392355</t>
  </si>
  <si>
    <t xml:space="preserve">gid://shopify/ProductVariant/43749480693859</t>
  </si>
  <si>
    <t xml:space="preserve">https://cdn.shopify.com/s/files/1/0572/0077/1171/files/4.png?v=1758912982</t>
  </si>
  <si>
    <t xml:space="preserve">Neon Muse- Neon Smoking Lady</t>
  </si>
  <si>
    <t xml:space="preserve">neon-muse-neon-smoking-lady</t>
  </si>
  <si>
    <t xml:space="preserve">gid://shopify/Product/7890519720035</t>
  </si>
  <si>
    <t xml:space="preserve">gid://shopify/ProductVariant/43749481644131</t>
  </si>
  <si>
    <t xml:space="preserve">https://cdn.shopify.com/s/files/1/0572/0077/1171/files/5.png?v=1758913101</t>
  </si>
  <si>
    <t xml:space="preserve">Velvet Flame- Neon Smoking Lady</t>
  </si>
  <si>
    <t xml:space="preserve">velvet-flame-neon-smoking-lady</t>
  </si>
  <si>
    <t xml:space="preserve">gid://shopify/Product/7890519982179</t>
  </si>
  <si>
    <t xml:space="preserve">gid://shopify/ProductVariant/43749483249763</t>
  </si>
  <si>
    <t xml:space="preserve">https://cdn.shopify.com/s/files/1/0572/0077/1171/files/6.png?v=1758913206</t>
  </si>
  <si>
    <t xml:space="preserve">Midnight Glow- Neon Smoking Lady</t>
  </si>
  <si>
    <t xml:space="preserve">midnight-glow-neon-smoking-lady</t>
  </si>
  <si>
    <t xml:space="preserve">gid://shopify/Product/7890520211555</t>
  </si>
  <si>
    <t xml:space="preserve">gid://shopify/ProductVariant/43749484560483</t>
  </si>
  <si>
    <t xml:space="preserve">https://cdn.shopify.com/s/files/1/0572/0077/1171/files/7.png?v=1758913361</t>
  </si>
  <si>
    <t xml:space="preserve">Shaan- Smoking Lady</t>
  </si>
  <si>
    <t xml:space="preserve">shaan-smoking-lady</t>
  </si>
  <si>
    <t xml:space="preserve">gid://shopify/Product/7890520440931</t>
  </si>
  <si>
    <t xml:space="preserve">gid://shopify/ProductVariant/43749485609059</t>
  </si>
  <si>
    <t xml:space="preserve">https://cdn.shopify.com/s/files/1/0572/0077/1171/files/8.png?v=1758913450</t>
  </si>
  <si>
    <t xml:space="preserve">digital-shaan</t>
  </si>
  <si>
    <t xml:space="preserve">/products/digital/final/shaan.jpg</t>
  </si>
  <si>
    <t xml:space="preserve">Teal Whisper- Neon Smoking Lady</t>
  </si>
  <si>
    <t xml:space="preserve">teal-whisper-neon-smoking-lady</t>
  </si>
  <si>
    <t xml:space="preserve">gid://shopify/Product/7890520637539</t>
  </si>
  <si>
    <t xml:space="preserve">gid://shopify/ProductVariant/43749486690403</t>
  </si>
  <si>
    <t xml:space="preserve">https://cdn.shopify.com/s/files/1/0572/0077/1171/files/9.png?v=1758913625</t>
  </si>
  <si>
    <t xml:space="preserve">Desi Neon- Neon Smoking Lady</t>
  </si>
  <si>
    <t xml:space="preserve">desi-neon-neon-smoking-lady</t>
  </si>
  <si>
    <t xml:space="preserve">gid://shopify/Product/7890520834147</t>
  </si>
  <si>
    <t xml:space="preserve">gid://shopify/ProductVariant/43749487444067</t>
  </si>
  <si>
    <t xml:space="preserve">https://cdn.shopify.com/s/files/1/0572/0077/1171/files/10.png?v=1758913751</t>
  </si>
  <si>
    <t xml:space="preserve">Junoon- Smoking Lady</t>
  </si>
  <si>
    <t xml:space="preserve">junoon-smoking-lady</t>
  </si>
  <si>
    <t xml:space="preserve">gid://shopify/Product/7890520932451</t>
  </si>
  <si>
    <t xml:space="preserve">gid://shopify/ProductVariant/43749487935587</t>
  </si>
  <si>
    <t xml:space="preserve">https://cdn.shopify.com/s/files/1/0572/0077/1171/files/11.png?v=1758913830</t>
  </si>
  <si>
    <t xml:space="preserve">Scarlet Haze- Neon Smoking Lady</t>
  </si>
  <si>
    <t xml:space="preserve">scarlet-haze-neon-smoking-lady</t>
  </si>
  <si>
    <t xml:space="preserve">gid://shopify/Product/7890521063523</t>
  </si>
  <si>
    <t xml:space="preserve">gid://shopify/ProductVariant/43749488427107</t>
  </si>
  <si>
    <t xml:space="preserve">https://cdn.shopify.com/s/files/1/0572/0077/1171/files/12.png?v=1758913952</t>
  </si>
  <si>
    <t xml:space="preserve">digital-scarlet-haze</t>
  </si>
  <si>
    <t xml:space="preserve">/products/digital/final/scarlet-haze.jpg</t>
  </si>
  <si>
    <t xml:space="preserve">Riwayat- Smoking Lady</t>
  </si>
  <si>
    <t xml:space="preserve">riwayat-smoking-lady</t>
  </si>
  <si>
    <t xml:space="preserve">gid://shopify/Product/7890522636387</t>
  </si>
  <si>
    <t xml:space="preserve">gid://shopify/ProductVariant/43749493899363</t>
  </si>
  <si>
    <t xml:space="preserve">https://cdn.shopify.com/s/files/1/0572/0077/1171/files/13.png?v=1758914262</t>
  </si>
  <si>
    <t xml:space="preserve">Raqs- Smoking Lady</t>
  </si>
  <si>
    <t xml:space="preserve">raqs-smoking-lady</t>
  </si>
  <si>
    <t xml:space="preserve">gid://shopify/Product/7890522996835</t>
  </si>
  <si>
    <t xml:space="preserve">gid://shopify/ProductVariant/43749495898211</t>
  </si>
  <si>
    <t xml:space="preserve">https://cdn.shopify.com/s/files/1/0572/0077/1171/files/14_cec07b5f-b109-4ca1-94bd-428fe32306bd.png?v=1758914439</t>
  </si>
  <si>
    <t xml:space="preserve">Electric Grace- Neon Smoking Lady</t>
  </si>
  <si>
    <t xml:space="preserve">electric-grace-neon-smoking-lady</t>
  </si>
  <si>
    <t xml:space="preserve">gid://shopify/Product/7890524831843</t>
  </si>
  <si>
    <t xml:space="preserve">6x9 inches @ 3500.00 (0) | 8x12 inches @ 4200.00 (0) | 12x18 inches @ 5000.00 (0) | 16x24 inches @ 5600.00 (-4)</t>
  </si>
  <si>
    <t xml:space="preserve">gid://shopify/ProductVariant/43749503369315</t>
  </si>
  <si>
    <t xml:space="preserve">https://cdn.shopify.com/s/files/1/0572/0077/1171/files/15.png?v=1758914904</t>
  </si>
  <si>
    <t xml:space="preserve">digital-electric-grace</t>
  </si>
  <si>
    <t xml:space="preserve">/products/digital/final/electric-grace.jpg</t>
  </si>
  <si>
    <t xml:space="preserve">Bazm- Smoking Lady</t>
  </si>
  <si>
    <t xml:space="preserve">bazm-smoking-lady</t>
  </si>
  <si>
    <t xml:space="preserve">gid://shopify/Product/7890525061219</t>
  </si>
  <si>
    <t xml:space="preserve">gid://shopify/ProductVariant/43749503762531</t>
  </si>
  <si>
    <t xml:space="preserve">https://cdn.shopify.com/s/files/1/0572/0077/1171/files/16.png?v=1758914978</t>
  </si>
  <si>
    <t xml:space="preserve">Sukoon- Smoking Lady</t>
  </si>
  <si>
    <t xml:space="preserve">sukoon-smoking-lady</t>
  </si>
  <si>
    <t xml:space="preserve">gid://shopify/Product/7890525159523</t>
  </si>
  <si>
    <t xml:space="preserve">gid://shopify/ProductVariant/43749504254051</t>
  </si>
  <si>
    <t xml:space="preserve">https://cdn.shopify.com/s/files/1/0572/0077/1171/files/17.png?v=1758915066</t>
  </si>
  <si>
    <t xml:space="preserve">Nazaakat- Smoking Lady</t>
  </si>
  <si>
    <t xml:space="preserve">nazaakat-smoking-lady</t>
  </si>
  <si>
    <t xml:space="preserve">gid://shopify/Product/7890525913187</t>
  </si>
  <si>
    <t xml:space="preserve">gid://shopify/ProductVariant/43749507334243</t>
  </si>
  <si>
    <t xml:space="preserve">https://cdn.shopify.com/s/files/1/0572/0077/1171/files/18.png?v=1758915094</t>
  </si>
  <si>
    <t xml:space="preserve">Khayal- Smoking Lady</t>
  </si>
  <si>
    <t xml:space="preserve">khayal-smoking-lady</t>
  </si>
  <si>
    <t xml:space="preserve">gid://shopify/Product/7890526011491</t>
  </si>
  <si>
    <t xml:space="preserve">gid://shopify/ProductVariant/43749507530851</t>
  </si>
  <si>
    <t xml:space="preserve">https://cdn.shopify.com/s/files/1/0572/0077/1171/files/19.png?v=1758915311</t>
  </si>
  <si>
    <t xml:space="preserve">Suroor- Smoking Lady</t>
  </si>
  <si>
    <t xml:space="preserve">suroor-smoking-lady</t>
  </si>
  <si>
    <t xml:space="preserve">gid://shopify/Product/7890527846499</t>
  </si>
  <si>
    <t xml:space="preserve">gid://shopify/ProductVariant/43749512773731</t>
  </si>
  <si>
    <t xml:space="preserve">https://cdn.shopify.com/s/files/1/0572/0077/1171/files/20.png?v=1758915382</t>
  </si>
  <si>
    <t xml:space="preserve">Nazr- Smoking Lady</t>
  </si>
  <si>
    <t xml:space="preserve">nazr-smoking-lady</t>
  </si>
  <si>
    <t xml:space="preserve">gid://shopify/Product/7890527944803</t>
  </si>
  <si>
    <t xml:space="preserve">gid://shopify/ProductVariant/43749513101411</t>
  </si>
  <si>
    <t xml:space="preserve">https://cdn.shopify.com/s/files/1/0572/0077/1171/files/21.png?v=1758915449</t>
  </si>
  <si>
    <t xml:space="preserve">Rooh- Smoking Lady</t>
  </si>
  <si>
    <t xml:space="preserve">rooh-smoking-lady</t>
  </si>
  <si>
    <t xml:space="preserve">gid://shopify/Product/7890528174179</t>
  </si>
  <si>
    <t xml:space="preserve">gid://shopify/ProductVariant/43749513527395</t>
  </si>
  <si>
    <t xml:space="preserve">https://cdn.shopify.com/s/files/1/0572/0077/1171/files/22.png?v=1758915500</t>
  </si>
  <si>
    <t xml:space="preserve">Mehfil- Smoking Lady</t>
  </si>
  <si>
    <t xml:space="preserve">mehfil-smoking-lady</t>
  </si>
  <si>
    <t xml:space="preserve">gid://shopify/Product/7890528370787</t>
  </si>
  <si>
    <t xml:space="preserve">gid://shopify/ProductVariant/43749513855075</t>
  </si>
  <si>
    <t xml:space="preserve">https://cdn.shopify.com/s/files/1/0572/0077/1171/files/23.png?v=1758915586</t>
  </si>
  <si>
    <t xml:space="preserve">Seher- Smoking Lady</t>
  </si>
  <si>
    <t xml:space="preserve">seher-smoking-lady</t>
  </si>
  <si>
    <t xml:space="preserve">gid://shopify/Product/7890529058915</t>
  </si>
  <si>
    <t xml:space="preserve">gid://shopify/ProductVariant/43749515067491</t>
  </si>
  <si>
    <t xml:space="preserve">https://cdn.shopify.com/s/files/1/0572/0077/1171/files/24.png?v=1758915643</t>
  </si>
  <si>
    <t xml:space="preserve">Nasha- Smoking Lady</t>
  </si>
  <si>
    <t xml:space="preserve">nasha-smoking-lady</t>
  </si>
  <si>
    <t xml:space="preserve">gid://shopify/Product/7890529386595</t>
  </si>
  <si>
    <t xml:space="preserve">gid://shopify/ProductVariant/43749515952227</t>
  </si>
  <si>
    <t xml:space="preserve">https://cdn.shopify.com/s/files/1/0572/0077/1171/files/25.png?v=1758915743</t>
  </si>
  <si>
    <t xml:space="preserve">Ada- Smoking Lady</t>
  </si>
  <si>
    <t xml:space="preserve">ada-smoking-lady</t>
  </si>
  <si>
    <t xml:space="preserve">gid://shopify/Product/7890529910883</t>
  </si>
  <si>
    <t xml:space="preserve">gid://shopify/ProductVariant/43749517918307</t>
  </si>
  <si>
    <t xml:space="preserve">https://cdn.shopify.com/s/files/1/0572/0077/1171/files/26.png?v=1758915800</t>
  </si>
  <si>
    <t xml:space="preserve">Mahjabeen- Smoking Lady</t>
  </si>
  <si>
    <t xml:space="preserve">mahjabeen-smoking-lady</t>
  </si>
  <si>
    <t xml:space="preserve">gid://shopify/Product/7890530140259</t>
  </si>
  <si>
    <t xml:space="preserve">gid://shopify/ProductVariant/43749518278755</t>
  </si>
  <si>
    <t xml:space="preserve">https://cdn.shopify.com/s/files/1/0572/0077/1171/files/27.png?v=1758915861</t>
  </si>
  <si>
    <t xml:space="preserve">Shola- Smoking Lady</t>
  </si>
  <si>
    <t xml:space="preserve">shola-smoking-lady</t>
  </si>
  <si>
    <t xml:space="preserve">gid://shopify/Product/7890530762851</t>
  </si>
  <si>
    <t xml:space="preserve">gid://shopify/ProductVariant/43749523914851</t>
  </si>
  <si>
    <t xml:space="preserve">https://cdn.shopify.com/s/files/1/0572/0077/1171/files/28.png?v=1758915945</t>
  </si>
  <si>
    <t xml:space="preserve">Lalkaar- Smoking Lady</t>
  </si>
  <si>
    <t xml:space="preserve">lalkaar-smoking-lady</t>
  </si>
  <si>
    <t xml:space="preserve">gid://shopify/Product/7890530893923</t>
  </si>
  <si>
    <t xml:space="preserve">gid://shopify/ProductVariant/43749524275299</t>
  </si>
  <si>
    <t xml:space="preserve">https://cdn.shopify.com/s/files/1/0572/0077/1171/files/29.png?v=1758916034</t>
  </si>
  <si>
    <t xml:space="preserve">Rangrez- Smoking Lady</t>
  </si>
  <si>
    <t xml:space="preserve">rangrez-smoking-lady</t>
  </si>
  <si>
    <t xml:space="preserve">gid://shopify/Product/7890531745891</t>
  </si>
  <si>
    <t xml:space="preserve">gid://shopify/ProductVariant/43749539971171</t>
  </si>
  <si>
    <t xml:space="preserve">https://cdn.shopify.com/s/files/1/0572/0077/1171/files/30.png?v=1758916096</t>
  </si>
  <si>
    <t xml:space="preserve">Vector Diva-Neon Smoking Lady</t>
  </si>
  <si>
    <t xml:space="preserve">vector-diva-neon-smoking-lady</t>
  </si>
  <si>
    <t xml:space="preserve">gid://shopify/Product/7890532335715</t>
  </si>
  <si>
    <t xml:space="preserve">gid://shopify/ProductVariant/43749549146211</t>
  </si>
  <si>
    <t xml:space="preserve">https://cdn.shopify.com/s/files/1/0572/0077/1171/files/31.png?v=1758916166</t>
  </si>
  <si>
    <t xml:space="preserve">Neon Noir-Neon Smoking Lady</t>
  </si>
  <si>
    <t xml:space="preserve">neon-noir-neon-smoking-lady</t>
  </si>
  <si>
    <t xml:space="preserve">gid://shopify/Product/7890532401251</t>
  </si>
  <si>
    <t xml:space="preserve">gid://shopify/ProductVariant/43749549506659</t>
  </si>
  <si>
    <t xml:space="preserve">https://cdn.shopify.com/s/files/1/0572/0077/1171/files/32.png?v=1758916230</t>
  </si>
  <si>
    <t xml:space="preserve">Electric Smoke- Neon Smoking Lady</t>
  </si>
  <si>
    <t xml:space="preserve">electric-smoke-neon-smoking-lady</t>
  </si>
  <si>
    <t xml:space="preserve">gid://shopify/Product/7890532630627</t>
  </si>
  <si>
    <t xml:space="preserve">gid://shopify/ProductVariant/43749550063715</t>
  </si>
  <si>
    <t xml:space="preserve">https://cdn.shopify.com/s/files/1/0572/0077/1171/files/33.png?v=1758916333</t>
  </si>
  <si>
    <t xml:space="preserve">Afsana- Smoking Lady</t>
  </si>
  <si>
    <t xml:space="preserve">afsana-smoking-lady</t>
  </si>
  <si>
    <t xml:space="preserve">gid://shopify/Product/7890532728931</t>
  </si>
  <si>
    <t xml:space="preserve">gid://shopify/ProductVariant/43749550260323</t>
  </si>
  <si>
    <t xml:space="preserve">https://cdn.shopify.com/s/files/1/0572/0077/1171/files/34.png?v=1758916396</t>
  </si>
  <si>
    <t xml:space="preserve">Naqshology</t>
  </si>
  <si>
    <t xml:space="preserve">naqshology</t>
  </si>
  <si>
    <t xml:space="preserve">gid://shopify/Product/7921481810019</t>
  </si>
  <si>
    <t xml:space="preserve">6x9 inches @ 4500.00 (0) | 8x12 inches @ 5200.00 (0) | 12x18 inches @ 6000.00 (0) | 18x24 inches @ 6600.00 (0)</t>
  </si>
  <si>
    <t xml:space="preserve">gid://shopify/ProductVariant/43832484462691</t>
  </si>
  <si>
    <t xml:space="preserve">https://cdn.shopify.com/s/files/1/0572/0077/1171/files/mockup-Dital.jpg?v=1762888627</t>
  </si>
  <si>
    <t xml:space="preserve">2025-11-11</t>
  </si>
  <si>
    <t xml:space="preserve">Aurora Geometric 3D Lamp</t>
  </si>
  <si>
    <t xml:space="preserve">prism-lamp</t>
  </si>
  <si>
    <t xml:space="preserve">gid://shopify/Product/7921485316195</t>
  </si>
  <si>
    <t xml:space="preserve">New Arrivals | 3D Prints | Lamps</t>
  </si>
  <si>
    <t xml:space="preserve">Yellow / Black @ 7000.00 (0) | Yellow / White @ 7000.00 (0) | Yellow / Wooden @ 7000.00 (0) | White / Black @ 7000.00 (0) | White / White @ 7000.00 (0) | White / Wooden @ 7000.00 (0) | Rainbow / Black @ 7000.00 (0) | Rainbow / White @ 7000.00 (0) | Rainbow / Wooden @ 7000.00 (0)</t>
  </si>
  <si>
    <t xml:space="preserve">gid://shopify/ProductVariant/43864666308707</t>
  </si>
  <si>
    <t xml:space="preserve">https://cdn.shopify.com/s/files/1/0572/0077/1171/files/1_437b9d06-fa5d-4af6-b570-de59db82b220.jpg?v=1762889724</t>
  </si>
  <si>
    <t xml:space="preserve">Shaded Lamp</t>
  </si>
  <si>
    <t xml:space="preserve">shaded-lamp</t>
  </si>
  <si>
    <t xml:space="preserve">gid://shopify/Product/7921485447267</t>
  </si>
  <si>
    <t xml:space="preserve">3D Prints | Lamps</t>
  </si>
  <si>
    <t xml:space="preserve">Default Title @ 6000.00 (-3)</t>
  </si>
  <si>
    <t xml:space="preserve">gid://shopify/ProductVariant/43832418795619</t>
  </si>
  <si>
    <t xml:space="preserve">https://cdn.shopify.com/s/files/1/0572/0077/1171/files/1_0bcf409c-7934-4d3b-8f2d-444732e3b68a.jpg?v=1762889821</t>
  </si>
  <si>
    <t xml:space="preserve">Batman Eastman Bust</t>
  </si>
  <si>
    <t xml:space="preserve">lamp-shade-copy</t>
  </si>
  <si>
    <t xml:space="preserve">gid://shopify/Product/7921485611107</t>
  </si>
  <si>
    <t xml:space="preserve">3D Prints</t>
  </si>
  <si>
    <t xml:space="preserve">Small @ 1499.00 (0) | Medium @ 1499.00 (0) | Large @ 1499.00 (0)</t>
  </si>
  <si>
    <t xml:space="preserve">gid://shopify/ProductVariant/43897537003619</t>
  </si>
  <si>
    <t xml:space="preserve">https://cdn.shopify.com/s/files/1/0572/0077/1171/files/1_5a372d06-97e2-422f-b1ed-75cf6a246a9e.jpg?v=1762889899</t>
  </si>
  <si>
    <t xml:space="preserve">object-led-lamp-shade</t>
  </si>
  <si>
    <t xml:space="preserve">3d-objects</t>
  </si>
  <si>
    <t xml:space="preserve">/products/3d/led-lamp-shade.stl</t>
  </si>
  <si>
    <t xml:space="preserve">Mini Armored Batman</t>
  </si>
  <si>
    <t xml:space="preserve">batman-bust-by-eastman-copy</t>
  </si>
  <si>
    <t xml:space="preserve">gid://shopify/Product/7921485709411</t>
  </si>
  <si>
    <t xml:space="preserve">Small @ 999.00 (0) | Medium @ 999.00 (0) | Large @ 999.00 (0)</t>
  </si>
  <si>
    <t xml:space="preserve">gid://shopify/ProductVariant/43897538609251</t>
  </si>
  <si>
    <t xml:space="preserve">https://cdn.shopify.com/s/files/1/0572/0077/1171/files/1_31be3e34-446d-4bc1-be3d-536d82d06f13.jpg?v=1762889973</t>
  </si>
  <si>
    <t xml:space="preserve">Mini Batman Deskbuddy</t>
  </si>
  <si>
    <t xml:space="preserve">mini-armored-batman-copy</t>
  </si>
  <si>
    <t xml:space="preserve">gid://shopify/Product/7921485807715</t>
  </si>
  <si>
    <t xml:space="preserve">gid://shopify/ProductVariant/43897541263459</t>
  </si>
  <si>
    <t xml:space="preserve">https://cdn.shopify.com/s/files/1/0572/0077/1171/files/1_ff1f093f-a126-4b24-b254-92e8b0fb40b9.jpg?v=1762890056</t>
  </si>
  <si>
    <t xml:space="preserve">object-mini-armored-batman-90mm</t>
  </si>
  <si>
    <t xml:space="preserve">/products/3d/mini-armored-batman-90mm.stl</t>
  </si>
  <si>
    <t xml:space="preserve">Four Quls Tree</t>
  </si>
  <si>
    <t xml:space="preserve">four-quls-tree</t>
  </si>
  <si>
    <t xml:space="preserve">gid://shopify/Product/7939500638307</t>
  </si>
  <si>
    <t xml:space="preserve">2D Wall-Art | Maths and Nature | New Arrivals | Islamic Art | Islamic Art- 2D</t>
  </si>
  <si>
    <t xml:space="preserve">9x18 inches each panel @ 8999.00 (0) | 12x24 inches each panel @ 11999.00 (0)</t>
  </si>
  <si>
    <t xml:space="preserve">gid://shopify/ProductVariant/43892505739363</t>
  </si>
  <si>
    <t xml:space="preserve">https://cdn.shopify.com/s/files/1/0572/0077/1171/files/2_ccc92252-c6bb-4d7d-af46-fab06a483ac9.png?v=1765816000</t>
  </si>
  <si>
    <t xml:space="preserve">2025-12-15</t>
  </si>
  <si>
    <t xml:space="preserve">Obsidian Bloom</t>
  </si>
  <si>
    <t xml:space="preserve">obsidian-bloom</t>
  </si>
  <si>
    <t xml:space="preserve">gid://shopify/Product/7939502768227</t>
  </si>
  <si>
    <t xml:space="preserve">Default Title @ 3999.00 (0)</t>
  </si>
  <si>
    <t xml:space="preserve">gid://shopify/ProductVariant/43892509343843</t>
  </si>
  <si>
    <t xml:space="preserve">https://cdn.shopify.com/s/files/1/0572/0077/1171/files/1_f6257689-1c94-4f96-88b5-6a049fc9b729.png?v=1765816536</t>
  </si>
  <si>
    <t xml:space="preserve">Obsidian Crest</t>
  </si>
  <si>
    <t xml:space="preserve">obsidian-crest</t>
  </si>
  <si>
    <t xml:space="preserve">gid://shopify/Product/7939504078947</t>
  </si>
  <si>
    <t xml:space="preserve">gid://shopify/ProductVariant/43892511866979</t>
  </si>
  <si>
    <t xml:space="preserve">https://cdn.shopify.com/s/files/1/0572/0077/1171/files/1_9a8c212a-3074-4895-97cd-1af321b03afb.png?v=1765817076</t>
  </si>
  <si>
    <t xml:space="preserve">Obsidian Fold</t>
  </si>
  <si>
    <t xml:space="preserve">obsidian-fold</t>
  </si>
  <si>
    <t xml:space="preserve">gid://shopify/Product/7939504537699</t>
  </si>
  <si>
    <t xml:space="preserve">gid://shopify/ProductVariant/43892513833059</t>
  </si>
  <si>
    <t xml:space="preserve">https://cdn.shopify.com/s/files/1/0572/0077/1171/files/1_c084de2b-3253-466d-b624-62aef202ad5e.png?v=1765817246</t>
  </si>
  <si>
    <t xml:space="preserve">Obsidian Glow</t>
  </si>
  <si>
    <t xml:space="preserve">obsidian-glow</t>
  </si>
  <si>
    <t xml:space="preserve">gid://shopify/Product/7939504767075</t>
  </si>
  <si>
    <t xml:space="preserve">gid://shopify/ProductVariant/43892515668067</t>
  </si>
  <si>
    <t xml:space="preserve">https://cdn.shopify.com/s/files/1/0572/0077/1171/files/1_9531f263-1a0d-4047-a2c4-30d93e7221ac.png?v=1765817369</t>
  </si>
  <si>
    <t xml:space="preserve">Molten Flow</t>
  </si>
  <si>
    <t xml:space="preserve">molten-flow</t>
  </si>
  <si>
    <t xml:space="preserve">gid://shopify/Product/7939958308963</t>
  </si>
  <si>
    <t xml:space="preserve">Layered Art</t>
  </si>
  <si>
    <t xml:space="preserve">12x18 inches @ 6500.00 (0) | 16x24 @ 8000.00 (0)</t>
  </si>
  <si>
    <t xml:space="preserve">gid://shopify/ProductVariant/43896824004707</t>
  </si>
  <si>
    <t xml:space="preserve">https://cdn.shopify.com/s/files/1/0572/0077/1171/files/Front_4f07d20f-e737-4427-87e0-633dd1660015.png?v=1765913316</t>
  </si>
  <si>
    <t xml:space="preserve">2025-12-16</t>
  </si>
  <si>
    <t xml:space="preserve">Molten Waves</t>
  </si>
  <si>
    <t xml:space="preserve">molten-waves</t>
  </si>
  <si>
    <t xml:space="preserve">gid://shopify/Product/7939958571107</t>
  </si>
  <si>
    <t xml:space="preserve">12x18 inches @ 6500.00 (0) | 16x24 unches @ 8000.00 (0)</t>
  </si>
  <si>
    <t xml:space="preserve">gid://shopify/ProductVariant/43896824856675</t>
  </si>
  <si>
    <t xml:space="preserve">https://cdn.shopify.com/s/files/1/0572/0077/1171/files/Front_ec16b886-5fd8-4069-955b-3c682cc453cf.png?v=1765913545</t>
  </si>
  <si>
    <t xml:space="preserve">Flowline</t>
  </si>
  <si>
    <t xml:space="preserve">flowline</t>
  </si>
  <si>
    <t xml:space="preserve">gid://shopify/Product/7939958833251</t>
  </si>
  <si>
    <t xml:space="preserve">12x18 inches @ 6500.00 (0) | 16x24 inches @ 8000.00 (0)</t>
  </si>
  <si>
    <t xml:space="preserve">gid://shopify/ProductVariant/43896825512035</t>
  </si>
  <si>
    <t xml:space="preserve">https://cdn.shopify.com/s/files/1/0572/0077/1171/files/Front_d2b20786-07e8-4687-b2ab-24b49ab62741.png?v=1765913597</t>
  </si>
  <si>
    <t xml:space="preserve">Glow Petal</t>
  </si>
  <si>
    <t xml:space="preserve">glow-petal</t>
  </si>
  <si>
    <t xml:space="preserve">gid://shopify/Product/7939959160931</t>
  </si>
  <si>
    <t xml:space="preserve">single piece @ 1999.00 (0) | set of 3 @ 4500.00 (0) | set of 5 @ 5999.00 (0)</t>
  </si>
  <si>
    <t xml:space="preserve">gid://shopify/ProductVariant/43896841502819</t>
  </si>
  <si>
    <t xml:space="preserve">https://cdn.shopify.com/s/files/1/0572/0077/1171/files/1_a443d966-e4fe-46c3-a269-0f3df9fd5f71.png?v=1765913701</t>
  </si>
  <si>
    <t xml:space="preserve">Snowglow</t>
  </si>
  <si>
    <t xml:space="preserve">glow-petal-copy</t>
  </si>
  <si>
    <t xml:space="preserve">gid://shopify/Product/7939959816291</t>
  </si>
  <si>
    <t xml:space="preserve">single piece @ 3000.00 (0) | set of 3 @ 7500.00 (0) | set of 5 @ 10000.00 (0)</t>
  </si>
  <si>
    <t xml:space="preserve">gid://shopify/ProductVariant/43896837374051</t>
  </si>
  <si>
    <t xml:space="preserve">https://cdn.shopify.com/s/files/1/0572/0077/1171/files/1_19457fed-8320-4361-89d8-1eab78842f27.png?v=1765914047</t>
  </si>
  <si>
    <t xml:space="preserve">Crystal Deer</t>
  </si>
  <si>
    <t xml:space="preserve">crystal-deer</t>
  </si>
  <si>
    <t xml:space="preserve">gid://shopify/Product/7939960438883</t>
  </si>
  <si>
    <t xml:space="preserve">3D Prints | Accessories</t>
  </si>
  <si>
    <t xml:space="preserve">Default Title @ 2500.00 (0)</t>
  </si>
  <si>
    <t xml:space="preserve">gid://shopify/ProductVariant/43894556983395</t>
  </si>
  <si>
    <t xml:space="preserve">https://cdn.shopify.com/s/files/1/0572/0077/1171/files/1_d8de49eb-7e18-41f3-a61b-ea1ef3a2a388.png?v=1765914269</t>
  </si>
  <si>
    <t xml:space="preserve">Silent Tree christmas ornament</t>
  </si>
  <si>
    <t xml:space="preserve">silent-tree-christmas-ornament</t>
  </si>
  <si>
    <t xml:space="preserve">gid://shopify/Product/7939960569955</t>
  </si>
  <si>
    <t xml:space="preserve">single piece @ 800.00 (0) | set of 3 @ 2100.00 (0) | set of 5 @ 3000.00 (0) | set of 10 @ 5000.00 (0)</t>
  </si>
  <si>
    <t xml:space="preserve">gid://shopify/ProductVariant/43896831115363</t>
  </si>
  <si>
    <t xml:space="preserve">https://cdn.shopify.com/s/files/1/0572/0077/1171/files/1_d8d37586-7072-4cda-9fef-d22aae4f92de.png?v=1765914367</t>
  </si>
  <si>
    <t xml:space="preserve">Eclipse Mandala</t>
  </si>
  <si>
    <t xml:space="preserve">eclipse-mandala</t>
  </si>
  <si>
    <t xml:space="preserve">gid://shopify/Product/7944537833571</t>
  </si>
  <si>
    <t xml:space="preserve">New Arrivals | Layered Art</t>
  </si>
  <si>
    <t xml:space="preserve">14x18 inches @ 10000.00 (0) | 18x24 inches @ 14000.00 (0)</t>
  </si>
  <si>
    <t xml:space="preserve">gid://shopify/ProductVariant/43911112884323</t>
  </si>
  <si>
    <t xml:space="preserve">https://cdn.shopify.com/s/files/1/0572/0077/1171/files/Front_5eecbf40-9969-4cb9-b5de-f23ab863c1ff.png?v=1766508280</t>
  </si>
  <si>
    <t xml:space="preserve">2025-12-23</t>
  </si>
  <si>
    <t xml:space="preserve">layered-eclipse</t>
  </si>
  <si>
    <t xml:space="preserve">layered-art</t>
  </si>
  <si>
    <t xml:space="preserve">Mandala</t>
  </si>
  <si>
    <t xml:space="preserve">mandala</t>
  </si>
  <si>
    <t xml:space="preserve">gid://shopify/Product/7944544944227</t>
  </si>
  <si>
    <t xml:space="preserve">Best Sellers | New Arrivals | Layered Art</t>
  </si>
  <si>
    <t xml:space="preserve">18x18 inches @ 11000.00 (0) | 24x24 inches @ 16000.00 (0)</t>
  </si>
  <si>
    <t xml:space="preserve">gid://shopify/ProductVariant/43911148011619</t>
  </si>
  <si>
    <t xml:space="preserve">https://cdn.shopify.com/s/files/1/0572/0077/1171/files/Front_27da2845-7d80-4bdf-bc81-127708de5b89.png?v=1766508715</t>
  </si>
  <si>
    <t xml:space="preserve">layered-mandala</t>
  </si>
  <si>
    <t xml:space="preserve">Noctra- Red Blade Silence</t>
  </si>
  <si>
    <t xml:space="preserve">noctra-red-blade-silence-1</t>
  </si>
  <si>
    <t xml:space="preserve">gid://shopify/Product/7944702099555</t>
  </si>
  <si>
    <t xml:space="preserve">Digital Art | Warrior Ladies</t>
  </si>
  <si>
    <t xml:space="preserve">gid://shopify/ProductVariant/43912054669411</t>
  </si>
  <si>
    <t xml:space="preserve">https://cdn.shopify.com/s/files/1/0572/0077/1171/files/1_d2eeb287-e6f6-4847-b093-3cdb58a3f94f.jpg?v=1766554937</t>
  </si>
  <si>
    <t xml:space="preserve">2025-12-24</t>
  </si>
  <si>
    <t xml:space="preserve">Liora- Sidearm Silence</t>
  </si>
  <si>
    <t xml:space="preserve">liora-sidearm-silence</t>
  </si>
  <si>
    <t xml:space="preserve">gid://shopify/Product/7944702132323</t>
  </si>
  <si>
    <t xml:space="preserve">gid://shopify/ProductVariant/43912054800483</t>
  </si>
  <si>
    <t xml:space="preserve">https://cdn.shopify.com/s/files/1/0572/0077/1171/files/2_389e57a9-e481-40c1-8f75-5fcddcfb1e71.png?v=1766555274</t>
  </si>
  <si>
    <t xml:space="preserve">Syra- Neon Phantom</t>
  </si>
  <si>
    <t xml:space="preserve">syra-neon-phantom</t>
  </si>
  <si>
    <t xml:space="preserve">gid://shopify/Product/7944702197859</t>
  </si>
  <si>
    <t xml:space="preserve">gid://shopify/ProductVariant/43912054997091</t>
  </si>
  <si>
    <t xml:space="preserve">https://cdn.shopify.com/s/files/1/0572/0077/1171/files/3_54a55fe8-8783-4e8d-a06f-a512ef522773.png?v=1766555408</t>
  </si>
  <si>
    <t xml:space="preserve">Astra- Crimson Guard</t>
  </si>
  <si>
    <t xml:space="preserve">astra-crimson-guard-1</t>
  </si>
  <si>
    <t xml:space="preserve">gid://shopify/Product/7944702427235</t>
  </si>
  <si>
    <t xml:space="preserve">gid://shopify/ProductVariant/43912055619683</t>
  </si>
  <si>
    <t xml:space="preserve">https://cdn.shopify.com/s/files/1/0572/0077/1171/files/4_c2ca23f0-ad2c-40ed-ba1d-1058d1b74846.png?v=1766555709</t>
  </si>
  <si>
    <t xml:space="preserve">Vexa- Flow Discipline</t>
  </si>
  <si>
    <t xml:space="preserve">vexa-flow-discipline</t>
  </si>
  <si>
    <t xml:space="preserve">gid://shopify/Product/7944702525539</t>
  </si>
  <si>
    <t xml:space="preserve">gid://shopify/ProductVariant/43912055849059</t>
  </si>
  <si>
    <t xml:space="preserve">https://cdn.shopify.com/s/files/1/0572/0077/1171/files/5_8b7b1030-d87d-4ebf-97be-5eb221fbdcb6.png?v=1766555805</t>
  </si>
  <si>
    <t xml:space="preserve">Rivena- Halo of Defiance</t>
  </si>
  <si>
    <t xml:space="preserve">rivena-halo-of-defiance</t>
  </si>
  <si>
    <t xml:space="preserve">gid://shopify/Product/7944702558307</t>
  </si>
  <si>
    <t xml:space="preserve">gid://shopify/ProductVariant/43912056078435</t>
  </si>
  <si>
    <t xml:space="preserve">https://cdn.shopify.com/s/files/1/0572/0077/1171/files/6_5713877a-3840-433e-9698-05904b21a7b6.jpg?v=1766555930</t>
  </si>
  <si>
    <t xml:space="preserve">Kaelith- Neon Tempest</t>
  </si>
  <si>
    <t xml:space="preserve">kaelith-neon-tempest-1</t>
  </si>
  <si>
    <t xml:space="preserve">gid://shopify/Product/7944702656611</t>
  </si>
  <si>
    <t xml:space="preserve">gid://shopify/ProductVariant/43912056340579</t>
  </si>
  <si>
    <t xml:space="preserve">https://cdn.shopify.com/s/files/1/0572/0077/1171/files/7_b3f7de9b-3e85-4a2f-8e05-270e5a848030.jpg?v=1766556007</t>
  </si>
  <si>
    <t xml:space="preserve">Avelyn- Urban Sentinel</t>
  </si>
  <si>
    <t xml:space="preserve">avelyn-urban-sentinel</t>
  </si>
  <si>
    <t xml:space="preserve">gid://shopify/Product/7944702754915</t>
  </si>
  <si>
    <t xml:space="preserve">gid://shopify/ProductVariant/43912056897635</t>
  </si>
  <si>
    <t xml:space="preserve">https://cdn.shopify.com/s/files/1/0572/0077/1171/files/8_73d341cd-a38a-46c8-a570-da6a3f8ad0bf.jpg?v=1766556070</t>
  </si>
  <si>
    <t xml:space="preserve">Zaira- Night Patrol</t>
  </si>
  <si>
    <t xml:space="preserve">zaira-night-patrol-1</t>
  </si>
  <si>
    <t xml:space="preserve">gid://shopify/Product/7944702885987</t>
  </si>
  <si>
    <t xml:space="preserve">gid://shopify/ProductVariant/43912057192547</t>
  </si>
  <si>
    <t xml:space="preserve">https://cdn.shopify.com/s/files/1/0572/0077/1171/files/9_be0e1e3b-5212-4335-bdeb-a70a46ae314c.png?v=1766556205</t>
  </si>
  <si>
    <t xml:space="preserve">Mirae- Crimson Resolve</t>
  </si>
  <si>
    <t xml:space="preserve">mirae-crimson-resolve-1</t>
  </si>
  <si>
    <t xml:space="preserve">gid://shopify/Product/7944926593123</t>
  </si>
  <si>
    <t xml:space="preserve">gid://shopify/ProductVariant/43913708208227</t>
  </si>
  <si>
    <t xml:space="preserve">https://cdn.shopify.com/s/files/1/0572/0077/1171/files/10_f1308d30-2024-48a3-a8d8-cf54d607afdf.png?v=1766599589</t>
  </si>
  <si>
    <t xml:space="preserve">Elara- Neon Crouch</t>
  </si>
  <si>
    <t xml:space="preserve">elara-neon-crouch</t>
  </si>
  <si>
    <t xml:space="preserve">gid://shopify/Product/7944927477859</t>
  </si>
  <si>
    <t xml:space="preserve">gid://shopify/ProductVariant/43913709256803</t>
  </si>
  <si>
    <t xml:space="preserve">https://cdn.shopify.com/s/files/1/0572/0077/1171/files/11_db33acb4-d1ca-4ee4-841b-2814a3db8d91.png?v=1766599703</t>
  </si>
  <si>
    <t xml:space="preserve">Nyxelle- Golden Dagger</t>
  </si>
  <si>
    <t xml:space="preserve">nyxelle-golden-dagger</t>
  </si>
  <si>
    <t xml:space="preserve">gid://shopify/Product/7944927772771</t>
  </si>
  <si>
    <t xml:space="preserve">gid://shopify/ProductVariant/43913716531299</t>
  </si>
  <si>
    <t xml:space="preserve">https://cdn.shopify.com/s/files/1/0572/0077/1171/files/12_eefdeb1e-1120-433d-8363-cf0e6a164c4a.png?v=1766599788</t>
  </si>
  <si>
    <t xml:space="preserve">Nyra- Emerald Oath</t>
  </si>
  <si>
    <t xml:space="preserve">nyra-emerald-oath</t>
  </si>
  <si>
    <t xml:space="preserve">gid://shopify/Product/7944927838307</t>
  </si>
  <si>
    <t xml:space="preserve">gid://shopify/ProductVariant/43913717186659</t>
  </si>
  <si>
    <t xml:space="preserve">https://cdn.shopify.com/s/files/1/0572/0077/1171/files/13_8675986f-7e2a-4292-b891-165ff4338972.png?v=1766599852</t>
  </si>
  <si>
    <t xml:space="preserve">Iria- Shadow Step</t>
  </si>
  <si>
    <t xml:space="preserve">iria-shadow-step</t>
  </si>
  <si>
    <t xml:space="preserve">gid://shopify/Product/7944927903843</t>
  </si>
  <si>
    <t xml:space="preserve">gid://shopify/ProductVariant/43913717579875</t>
  </si>
  <si>
    <t xml:space="preserve">https://cdn.shopify.com/s/files/1/0572/0077/1171/files/14_09f31c20-6521-4aa6-adb5-3b00b2611baa.jpg?v=1766599938</t>
  </si>
  <si>
    <t xml:space="preserve">Thyra- After Dark Combat</t>
  </si>
  <si>
    <t xml:space="preserve">thyra-after-dark-combat</t>
  </si>
  <si>
    <t xml:space="preserve">gid://shopify/Product/7944927969379</t>
  </si>
  <si>
    <t xml:space="preserve">gid://shopify/ProductVariant/43913717973091</t>
  </si>
  <si>
    <t xml:space="preserve">https://cdn.shopify.com/s/files/1/0572/0077/1171/files/15_b48fbc90-a264-4ae2-b76d-f9741ce1c849.jpg?v=1766599996</t>
  </si>
  <si>
    <t xml:space="preserve">Sable- Midnight Guard</t>
  </si>
  <si>
    <t xml:space="preserve">sable-midnight-guard</t>
  </si>
  <si>
    <t xml:space="preserve">gid://shopify/Product/7944928067683</t>
  </si>
  <si>
    <t xml:space="preserve">gid://shopify/ProductVariant/43913718235235</t>
  </si>
  <si>
    <t xml:space="preserve">https://cdn.shopify.com/s/files/1/0572/0077/1171/files/16_b8db4632-c558-4d0b-92dd-96a8c761378f.jpg?v=1766600064</t>
  </si>
  <si>
    <t xml:space="preserve">Elyx- Electric Stance</t>
  </si>
  <si>
    <t xml:space="preserve">elyx-electric-stance</t>
  </si>
  <si>
    <t xml:space="preserve">gid://shopify/Product/7944928100451</t>
  </si>
  <si>
    <t xml:space="preserve">gid://shopify/ProductVariant/43913718399075</t>
  </si>
  <si>
    <t xml:space="preserve">https://cdn.shopify.com/s/files/1/0572/0077/1171/files/17_ff0f09f5-b279-44da-b3a7-a2abefeded4c.png?v=1766600140</t>
  </si>
  <si>
    <t xml:space="preserve">Viora- Silent Watch</t>
  </si>
  <si>
    <t xml:space="preserve">viora-silent-watch</t>
  </si>
  <si>
    <t xml:space="preserve">gid://shopify/Product/7944928198755</t>
  </si>
  <si>
    <t xml:space="preserve">gid://shopify/ProductVariant/43913718661219</t>
  </si>
  <si>
    <t xml:space="preserve">https://cdn.shopify.com/s/files/1/0572/0077/1171/files/18_d6b0458b-5611-464f-91d3-b845f20f83d7.png?v=1766600194</t>
  </si>
  <si>
    <t xml:space="preserve">Zeya- Urban Seige</t>
  </si>
  <si>
    <t xml:space="preserve">19</t>
  </si>
  <si>
    <t xml:space="preserve">gid://shopify/Product/7944928264291</t>
  </si>
  <si>
    <t xml:space="preserve">gid://shopify/ProductVariant/43913718857827</t>
  </si>
  <si>
    <t xml:space="preserve">https://cdn.shopify.com/s/files/1/0572/0077/1171/files/19_e0bafc2c-afb7-4b65-bc3f-cb29a442cef8.png?v=1766600247</t>
  </si>
  <si>
    <t xml:space="preserve">Kaira- Red Smoke Resolve</t>
  </si>
  <si>
    <t xml:space="preserve">kaira-red-smoke-resolve</t>
  </si>
  <si>
    <t xml:space="preserve">gid://shopify/Product/7944928329827</t>
  </si>
  <si>
    <t xml:space="preserve">gid://shopify/ProductVariant/43913719119971</t>
  </si>
  <si>
    <t xml:space="preserve">https://cdn.shopify.com/s/files/1/0572/0077/1171/files/20_1354df24-88f6-42de-8a40-0161b64cb4db.jpg?v=1766600306</t>
  </si>
  <si>
    <t xml:space="preserve">Grey Wolf</t>
  </si>
  <si>
    <t xml:space="preserve">grey-wolf</t>
  </si>
  <si>
    <t xml:space="preserve">gid://shopify/Product/7947238375523</t>
  </si>
  <si>
    <t xml:space="preserve">gid://shopify/ProductVariant/43927468277859</t>
  </si>
  <si>
    <t xml:space="preserve">https://cdn.shopify.com/s/files/1/0572/0077/1171/files/Wolf-1.jpg?v=1767118298</t>
  </si>
  <si>
    <t xml:space="preserve">2025-12-30</t>
  </si>
  <si>
    <t xml:space="preserve">layered-wolf</t>
  </si>
  <si>
    <t xml:space="preserve">Bear</t>
  </si>
  <si>
    <t xml:space="preserve">grey-wolf-copy</t>
  </si>
  <si>
    <t xml:space="preserve">gid://shopify/Product/7947239391331</t>
  </si>
  <si>
    <t xml:space="preserve">12x18 inches @ 11000.00 (0) | 16x24 inches @ 16000.00 (0)</t>
  </si>
  <si>
    <t xml:space="preserve">gid://shopify/ProductVariant/43927469654115</t>
  </si>
  <si>
    <t xml:space="preserve">https://cdn.shopify.com/s/files/1/0572/0077/1171/files/BearWallDecorGeometricLayeredArt.png?v=1767118606</t>
  </si>
  <si>
    <t xml:space="preserve">Motorcycle</t>
  </si>
  <si>
    <t xml:space="preserve">bear-copy</t>
  </si>
  <si>
    <t xml:space="preserve">gid://shopify/Product/7947239489635</t>
  </si>
  <si>
    <t xml:space="preserve">gid://shopify/ProductVariant/43927469916259</t>
  </si>
  <si>
    <t xml:space="preserve">https://cdn.shopify.com/s/files/1/0572/0077/1171/files/Motorcycle-Wall-Panel-Art.png?v=1767118905</t>
  </si>
  <si>
    <t xml:space="preserve">layered-bear</t>
  </si>
  <si>
    <t xml:space="preserve">Abstract  10</t>
  </si>
  <si>
    <t xml:space="preserve">abstract-10</t>
  </si>
  <si>
    <t xml:space="preserve">gid://shopify/Product/7974444925027</t>
  </si>
  <si>
    <t xml:space="preserve">Apparel | T-Shirts- Abstract</t>
  </si>
  <si>
    <t xml:space="preserve">Medium @ 3499.00 (5) | Large @ 3499.00 (5) | X Large @ 3499.00 (5) | XX Large @ 3499.00 (5)</t>
  </si>
  <si>
    <t xml:space="preserve">gid://shopify/ProductVariant/44041119367267</t>
  </si>
  <si>
    <t xml:space="preserve">https://cdn.shopify.com/s/files/1/0572/0077/1171/files/Artboard10_7ef0618a-a5f8-4670-93de-a6f13a8b5357.png?v=1772824478</t>
  </si>
  <si>
    <t xml:space="preserve">2026-03-06</t>
  </si>
  <si>
    <t xml:space="preserve">Abstract  1</t>
  </si>
  <si>
    <t xml:space="preserve">abstract-2</t>
  </si>
  <si>
    <t xml:space="preserve">gid://shopify/Product/7974447874147</t>
  </si>
  <si>
    <t xml:space="preserve">gid://shopify/ProductVariant/44041128640611</t>
  </si>
  <si>
    <t xml:space="preserve">https://cdn.shopify.com/s/files/1/0572/0077/1171/files/Artboard6_889f31ed-073c-4f19-92dd-11a881fda7a4.png?v=1772824515</t>
  </si>
  <si>
    <t xml:space="preserve">Abstract  2</t>
  </si>
  <si>
    <t xml:space="preserve">abstract-3</t>
  </si>
  <si>
    <t xml:space="preserve">gid://shopify/Product/7974448037987</t>
  </si>
  <si>
    <t xml:space="preserve">gid://shopify/ProductVariant/44041129295971</t>
  </si>
  <si>
    <t xml:space="preserve">https://cdn.shopify.com/s/files/1/0572/0077/1171/files/Artboard10_5d530644-6938-4299-ae4f-5393b54be913.png?v=1772824569</t>
  </si>
  <si>
    <t xml:space="preserve">Abstract  3</t>
  </si>
  <si>
    <t xml:space="preserve">abstract-4</t>
  </si>
  <si>
    <t xml:space="preserve">gid://shopify/Product/7974448136291</t>
  </si>
  <si>
    <t xml:space="preserve">gid://shopify/ProductVariant/44041129623651</t>
  </si>
  <si>
    <t xml:space="preserve">https://cdn.shopify.com/s/files/1/0572/0077/1171/files/Artboard6_b6e82971-2341-4975-bddc-0cdcb0d604a3.png?v=1772824615</t>
  </si>
  <si>
    <t xml:space="preserve">Abstract  4</t>
  </si>
  <si>
    <t xml:space="preserve">abstract-5</t>
  </si>
  <si>
    <t xml:space="preserve">gid://shopify/Product/7974448234595</t>
  </si>
  <si>
    <t xml:space="preserve">gid://shopify/ProductVariant/44041129820259</t>
  </si>
  <si>
    <t xml:space="preserve">https://cdn.shopify.com/s/files/1/0572/0077/1171/files/Artboard10_a1964a73-c406-43ad-b64f-5a088e8401e1.png?v=1772824640</t>
  </si>
  <si>
    <t xml:space="preserve">Abstract  5</t>
  </si>
  <si>
    <t xml:space="preserve">abstract-6</t>
  </si>
  <si>
    <t xml:space="preserve">gid://shopify/Product/7974448431203</t>
  </si>
  <si>
    <t xml:space="preserve">gid://shopify/ProductVariant/44041130606691</t>
  </si>
  <si>
    <t xml:space="preserve">https://cdn.shopify.com/s/files/1/0572/0077/1171/files/Artboard10_c7410fc9-48ee-4ef7-ad53-af332fd54dcf.png?v=1772824693</t>
  </si>
  <si>
    <t xml:space="preserve">Abstract  6</t>
  </si>
  <si>
    <t xml:space="preserve">abstract-7</t>
  </si>
  <si>
    <t xml:space="preserve">gid://shopify/Product/7974448529507</t>
  </si>
  <si>
    <t xml:space="preserve">gid://shopify/ProductVariant/44041130803299</t>
  </si>
  <si>
    <t xml:space="preserve">https://cdn.shopify.com/s/files/1/0572/0077/1171/files/Artboard6_ee0f0fdc-d53a-42e1-9970-de574bac0d06.png?v=1772824724</t>
  </si>
  <si>
    <t xml:space="preserve">Abstract  7</t>
  </si>
  <si>
    <t xml:space="preserve">abstract-8</t>
  </si>
  <si>
    <t xml:space="preserve">gid://shopify/Product/7974448660579</t>
  </si>
  <si>
    <t xml:space="preserve">gid://shopify/ProductVariant/44041131065443</t>
  </si>
  <si>
    <t xml:space="preserve">https://cdn.shopify.com/s/files/1/0572/0077/1171/files/Artboard6_720729ba-5694-4615-b9c5-fd63495462cd.png?v=1772824775</t>
  </si>
  <si>
    <t xml:space="preserve">Abstract  8</t>
  </si>
  <si>
    <t xml:space="preserve">abstract-9</t>
  </si>
  <si>
    <t xml:space="preserve">gid://shopify/Product/7974448889955</t>
  </si>
  <si>
    <t xml:space="preserve">gid://shopify/ProductVariant/44041132245091</t>
  </si>
  <si>
    <t xml:space="preserve">https://cdn.shopify.com/s/files/1/0572/0077/1171/files/Artboard6_b1e0412e-e63f-4ddf-b7b1-775338723edd.png?v=1772824812</t>
  </si>
  <si>
    <t xml:space="preserve">Abstract  9</t>
  </si>
  <si>
    <t xml:space="preserve">abstract-11</t>
  </si>
  <si>
    <t xml:space="preserve">gid://shopify/Product/7974449053795</t>
  </si>
  <si>
    <t xml:space="preserve">gid://shopify/ProductVariant/44041132507235</t>
  </si>
  <si>
    <t xml:space="preserve">https://cdn.shopify.com/s/files/1/0572/0077/1171/files/Artboard10_4f69c8a4-6353-40b9-9a65-e0110de2227a.png?v=1772824833</t>
  </si>
  <si>
    <t xml:space="preserve">Abstract  11</t>
  </si>
  <si>
    <t xml:space="preserve">abstract-12</t>
  </si>
  <si>
    <t xml:space="preserve">gid://shopify/Product/7974449152099</t>
  </si>
  <si>
    <t xml:space="preserve">gid://shopify/ProductVariant/44041132834915</t>
  </si>
  <si>
    <t xml:space="preserve">https://cdn.shopify.com/s/files/1/0572/0077/1171/files/Artboard10_7c123b42-d14a-408d-a6ee-1f6b559b5ea7.png?v=1772824872</t>
  </si>
  <si>
    <t xml:space="preserve">Contrast Whisper 1</t>
  </si>
  <si>
    <t xml:space="preserve">contrast-whisper-1</t>
  </si>
  <si>
    <t xml:space="preserve">gid://shopify/Product/7974449447011</t>
  </si>
  <si>
    <t xml:space="preserve">Apparel | T-Shirts- Contrast Whisper</t>
  </si>
  <si>
    <t xml:space="preserve">gid://shopify/ProductVariant/44041133490275</t>
  </si>
  <si>
    <t xml:space="preserve">https://cdn.shopify.com/s/files/1/0572/0077/1171/files/Artboard6_24068ba2-37c1-4539-b014-ae7998582f03.png?v=1772824901</t>
  </si>
  <si>
    <t xml:space="preserve">Contrast Whisper 2</t>
  </si>
  <si>
    <t xml:space="preserve">contrast-whisper-2</t>
  </si>
  <si>
    <t xml:space="preserve">gid://shopify/Product/7974450004067</t>
  </si>
  <si>
    <t xml:space="preserve">gid://shopify/ProductVariant/44041134899299</t>
  </si>
  <si>
    <t xml:space="preserve">https://cdn.shopify.com/s/files/1/0572/0077/1171/files/Artboard6_4b63df40-69e8-47ca-bb41-bf19ad41abff.png?v=1772824935</t>
  </si>
  <si>
    <t xml:space="preserve">Contrast Whisper 3</t>
  </si>
  <si>
    <t xml:space="preserve">contrast-whisper-3</t>
  </si>
  <si>
    <t xml:space="preserve">gid://shopify/Product/7974450167907</t>
  </si>
  <si>
    <t xml:space="preserve">gid://shopify/ProductVariant/44041135751267</t>
  </si>
  <si>
    <t xml:space="preserve">https://cdn.shopify.com/s/files/1/0572/0077/1171/files/Artboard10_c4ce304e-2620-401a-ba4f-0d602ea5c8b7.png?v=1772824955</t>
  </si>
  <si>
    <t xml:space="preserve">Contrast Whisper 4</t>
  </si>
  <si>
    <t xml:space="preserve">contrast-whisper-4</t>
  </si>
  <si>
    <t xml:space="preserve">gid://shopify/Product/7974450331747</t>
  </si>
  <si>
    <t xml:space="preserve">gid://shopify/ProductVariant/44041136144483</t>
  </si>
  <si>
    <t xml:space="preserve">https://cdn.shopify.com/s/files/1/0572/0077/1171/files/Artboard10_acdd68ef-3dfa-4d5e-9f30-48d3f5ee3b15.png?v=1772824978</t>
  </si>
  <si>
    <t xml:space="preserve">Contrast Whisper 5</t>
  </si>
  <si>
    <t xml:space="preserve">contrast-whisper-5</t>
  </si>
  <si>
    <t xml:space="preserve">gid://shopify/Product/7974450462819</t>
  </si>
  <si>
    <t xml:space="preserve">gid://shopify/ProductVariant/44041136537699</t>
  </si>
  <si>
    <t xml:space="preserve">https://cdn.shopify.com/s/files/1/0572/0077/1171/files/Artboard10_d43fa4ea-f5bb-4530-87c8-0e207fc6f008.png?v=1772825001</t>
  </si>
  <si>
    <t xml:space="preserve">Contrast Whisper 6</t>
  </si>
  <si>
    <t xml:space="preserve">contrast-whisper-6</t>
  </si>
  <si>
    <t xml:space="preserve">gid://shopify/Product/7974450561123</t>
  </si>
  <si>
    <t xml:space="preserve">gid://shopify/ProductVariant/44041136767075</t>
  </si>
  <si>
    <t xml:space="preserve">https://cdn.shopify.com/s/files/1/0572/0077/1171/files/Artboard6_b02d7fde-2abb-49d6-bae2-3c963327a99d.png?v=1772821231</t>
  </si>
  <si>
    <t xml:space="preserve">Contrast Whisper 7</t>
  </si>
  <si>
    <t xml:space="preserve">contrast-whisper-7</t>
  </si>
  <si>
    <t xml:space="preserve">gid://shopify/Product/7974450659427</t>
  </si>
  <si>
    <t xml:space="preserve">gid://shopify/ProductVariant/44041136963683</t>
  </si>
  <si>
    <t xml:space="preserve">https://cdn.shopify.com/s/files/1/0572/0077/1171/files/Artboard10_ae16c1b6-2d92-4c3a-991a-fd7c28281655.png?v=1772825129</t>
  </si>
  <si>
    <t xml:space="preserve">Contrast Whisper 8</t>
  </si>
  <si>
    <t xml:space="preserve">contrast-whisper-8</t>
  </si>
  <si>
    <t xml:space="preserve">gid://shopify/Product/7974450757731</t>
  </si>
  <si>
    <t xml:space="preserve">gid://shopify/ProductVariant/44041137160291</t>
  </si>
  <si>
    <t xml:space="preserve">https://cdn.shopify.com/s/files/1/0572/0077/1171/files/Artboard10_a760c6ed-1070-43d0-80f8-b0d1a01b3048.png?v=1772825148</t>
  </si>
  <si>
    <t xml:space="preserve">Contrast Whisper 9</t>
  </si>
  <si>
    <t xml:space="preserve">contrast-whisper-9</t>
  </si>
  <si>
    <t xml:space="preserve">gid://shopify/Product/7974450921571</t>
  </si>
  <si>
    <t xml:space="preserve">gid://shopify/ProductVariant/44041137979491</t>
  </si>
  <si>
    <t xml:space="preserve">https://cdn.shopify.com/s/files/1/0572/0077/1171/files/Artboard6_766b4d82-5806-4c05-9c92-c1e9c61e0236.png?v=1772821377</t>
  </si>
  <si>
    <t xml:space="preserve">Contrast Whisper 10</t>
  </si>
  <si>
    <t xml:space="preserve">contrast-whisper-10</t>
  </si>
  <si>
    <t xml:space="preserve">gid://shopify/Product/7974451085411</t>
  </si>
  <si>
    <t xml:space="preserve">gid://shopify/ProductVariant/44041138307171</t>
  </si>
  <si>
    <t xml:space="preserve">https://cdn.shopify.com/s/files/1/0572/0077/1171/files/Artboard_6_7a62fea9-e9f5-4761-87d4-bacd96f3ea3b.png?v=1772821432</t>
  </si>
  <si>
    <t xml:space="preserve">Amusement Balloon</t>
  </si>
  <si>
    <t xml:space="preserve">amusement-balloon</t>
  </si>
  <si>
    <t xml:space="preserve">gid://shopify/Product/7974452330595</t>
  </si>
  <si>
    <t xml:space="preserve">gid://shopify/ProductVariant/44041144729699</t>
  </si>
  <si>
    <t xml:space="preserve">https://cdn.shopify.com/s/files/1/0572/0077/1171/files/Artboard6_fec5e4c3-4484-40b4-a7a9-19f8c4a4f36c.png?v=1772825225</t>
  </si>
  <si>
    <t xml:space="preserve">Astronaut Doodle- 1</t>
  </si>
  <si>
    <t xml:space="preserve">astronaut-doodle-1</t>
  </si>
  <si>
    <t xml:space="preserve">gid://shopify/Product/7974452461667</t>
  </si>
  <si>
    <t xml:space="preserve">gid://shopify/ProductVariant/44041145253987</t>
  </si>
  <si>
    <t xml:space="preserve">https://cdn.shopify.com/s/files/1/0572/0077/1171/files/Artboard6_7b2aacb5-595f-4fde-81b9-2ce46f66abbf.png?v=1772825262</t>
  </si>
  <si>
    <t xml:space="preserve">Astronaut Doodle- 2</t>
  </si>
  <si>
    <t xml:space="preserve">astronaut-doodle-2</t>
  </si>
  <si>
    <t xml:space="preserve">gid://shopify/Product/7974452625507</t>
  </si>
  <si>
    <t xml:space="preserve">gid://shopify/ProductVariant/44041145942115</t>
  </si>
  <si>
    <t xml:space="preserve">https://cdn.shopify.com/s/files/1/0572/0077/1171/files/Artboard6_ec7fd8f7-70d2-4faa-a745-227f04ca1f8d.png?v=1772825330</t>
  </si>
  <si>
    <t xml:space="preserve">Cat Doodle</t>
  </si>
  <si>
    <t xml:space="preserve">cat-doodle</t>
  </si>
  <si>
    <t xml:space="preserve">gid://shopify/Product/7974452691043</t>
  </si>
  <si>
    <t xml:space="preserve">gid://shopify/ProductVariant/44041146105955</t>
  </si>
  <si>
    <t xml:space="preserve">https://cdn.shopify.com/s/files/1/0572/0077/1171/files/Artboard6_0664d3d5-4649-4941-b1b9-94c82d6c7a11.png?v=1772822321</t>
  </si>
  <si>
    <t xml:space="preserve">Doodles-1</t>
  </si>
  <si>
    <t xml:space="preserve">doodles-1</t>
  </si>
  <si>
    <t xml:space="preserve">gid://shopify/Product/7974452854883</t>
  </si>
  <si>
    <t xml:space="preserve">gid://shopify/ProductVariant/44041146695779</t>
  </si>
  <si>
    <t xml:space="preserve">https://cdn.shopify.com/s/files/1/0572/0077/1171/files/Artboard10_227dfed4-c90e-4156-aa45-66a4d6c6a83b.png?v=1772825383</t>
  </si>
  <si>
    <t xml:space="preserve">Doodles-2</t>
  </si>
  <si>
    <t xml:space="preserve">doodles-2</t>
  </si>
  <si>
    <t xml:space="preserve">gid://shopify/Product/7974452985955</t>
  </si>
  <si>
    <t xml:space="preserve">gid://shopify/ProductVariant/44041147154531</t>
  </si>
  <si>
    <t xml:space="preserve">https://cdn.shopify.com/s/files/1/0572/0077/1171/files/Artboard10_a39204ab-bf88-432e-b1c4-5cf046e5ea3e.png?v=1772826077</t>
  </si>
  <si>
    <t xml:space="preserve">Doodles-3</t>
  </si>
  <si>
    <t xml:space="preserve">doodles-3</t>
  </si>
  <si>
    <t xml:space="preserve">gid://shopify/Product/7974453149795</t>
  </si>
  <si>
    <t xml:space="preserve">gid://shopify/ProductVariant/44041147908195</t>
  </si>
  <si>
    <t xml:space="preserve">https://cdn.shopify.com/s/files/1/0572/0077/1171/files/Artboard6_7730bf25-06ab-4236-bed8-9bde67d07b93.png?v=1772825429</t>
  </si>
  <si>
    <t xml:space="preserve">Foodie Bear</t>
  </si>
  <si>
    <t xml:space="preserve">foodie-bear</t>
  </si>
  <si>
    <t xml:space="preserve">gid://shopify/Product/7974453444707</t>
  </si>
  <si>
    <t xml:space="preserve">gid://shopify/ProductVariant/44041150627939</t>
  </si>
  <si>
    <t xml:space="preserve">https://cdn.shopify.com/s/files/1/0572/0077/1171/files/Artboard6_003c6954-e25a-4295-9ad9-47e8b6d3dd70.png?v=1772822584</t>
  </si>
  <si>
    <t xml:space="preserve">Girl Face Cut</t>
  </si>
  <si>
    <t xml:space="preserve">foodie-bear-copy</t>
  </si>
  <si>
    <t xml:space="preserve">gid://shopify/Product/7974453608547</t>
  </si>
  <si>
    <t xml:space="preserve">gid://shopify/ProductVariant/44041151479907</t>
  </si>
  <si>
    <t xml:space="preserve">https://cdn.shopify.com/s/files/1/0572/0077/1171/files/Artboard10_42c56413-19b7-4027-b3f3-055f6cf0037c.png?v=1772825496</t>
  </si>
  <si>
    <t xml:space="preserve">Peace Doodle</t>
  </si>
  <si>
    <t xml:space="preserve">peace-doodle</t>
  </si>
  <si>
    <t xml:space="preserve">gid://shopify/Product/7974453674083</t>
  </si>
  <si>
    <t xml:space="preserve">gid://shopify/ProductVariant/44041151840355</t>
  </si>
  <si>
    <t xml:space="preserve">https://cdn.shopify.com/s/files/1/0572/0077/1171/files/Artboard6_b75ccd8a-371b-477b-8be7-05077bb9fc96.png?v=1772822709</t>
  </si>
  <si>
    <t xml:space="preserve">Biryani</t>
  </si>
  <si>
    <t xml:space="preserve">biryani</t>
  </si>
  <si>
    <t xml:space="preserve">gid://shopify/Product/7974454329443</t>
  </si>
  <si>
    <t xml:space="preserve">Apparel | T-Shirts- Pop Art</t>
  </si>
  <si>
    <t xml:space="preserve">gid://shopify/ProductVariant/44041154986083</t>
  </si>
  <si>
    <t xml:space="preserve">https://cdn.shopify.com/s/files/1/0572/0077/1171/files/Artboard10_f8c0bff6-b34f-46de-a2b2-c9e406ddebfa.png?v=1772825588</t>
  </si>
  <si>
    <t xml:space="preserve">Burger Bachha</t>
  </si>
  <si>
    <t xml:space="preserve">burger-bachha</t>
  </si>
  <si>
    <t xml:space="preserve">gid://shopify/Product/7974454886499</t>
  </si>
  <si>
    <t xml:space="preserve">gid://shopify/ProductVariant/44041158885475</t>
  </si>
  <si>
    <t xml:space="preserve">https://cdn.shopify.com/s/files/1/0572/0077/1171/files/Artboard10_de6b3592-cb12-4ec6-8c4e-8c4ef5ca1671.png?v=1772825604</t>
  </si>
  <si>
    <t xml:space="preserve">Godfather Skeleton</t>
  </si>
  <si>
    <t xml:space="preserve">godfather-skeleton</t>
  </si>
  <si>
    <t xml:space="preserve">gid://shopify/Product/7974455083107</t>
  </si>
  <si>
    <t xml:space="preserve">gid://shopify/ProductVariant/44041160163427</t>
  </si>
  <si>
    <t xml:space="preserve">https://cdn.shopify.com/s/files/1/0572/0077/1171/files/Artboard6_df7371f4-6642-42a7-9a55-353f3f61b227.png?v=1772825632</t>
  </si>
  <si>
    <t xml:space="preserve">Medusa</t>
  </si>
  <si>
    <t xml:space="preserve">medusa</t>
  </si>
  <si>
    <t xml:space="preserve">gid://shopify/Product/7974455246947</t>
  </si>
  <si>
    <t xml:space="preserve">gid://shopify/ProductVariant/44041160917091</t>
  </si>
  <si>
    <t xml:space="preserve">https://cdn.shopify.com/s/files/1/0572/0077/1171/files/Artboard6_1f2c705b-9865-46aa-a804-6a93348e9a40.png?v=1772825650</t>
  </si>
  <si>
    <t xml:space="preserve">Pindi Boy 2</t>
  </si>
  <si>
    <t xml:space="preserve">pindi-boy-2</t>
  </si>
  <si>
    <t xml:space="preserve">gid://shopify/Product/7974455378019</t>
  </si>
  <si>
    <t xml:space="preserve">gid://shopify/ProductVariant/44041161244771</t>
  </si>
  <si>
    <t xml:space="preserve">https://cdn.shopify.com/s/files/1/0572/0077/1171/files/Artboard6_3e825b18-9f84-4aa2-b58e-086e808f930a.png?v=1772825668</t>
  </si>
  <si>
    <t xml:space="preserve">Car Pop Art</t>
  </si>
  <si>
    <t xml:space="preserve">car-pop-art</t>
  </si>
  <si>
    <t xml:space="preserve">gid://shopify/Product/7974455541859</t>
  </si>
  <si>
    <t xml:space="preserve">gid://shopify/ProductVariant/44041163997283</t>
  </si>
  <si>
    <t xml:space="preserve">https://cdn.shopify.com/s/files/1/0572/0077/1171/files/Artboard10_f4e5fbcc-d419-4c1c-b250-f368923ba723.png?v=1772825687</t>
  </si>
  <si>
    <t xml:space="preserve">Girl Pop Art</t>
  </si>
  <si>
    <t xml:space="preserve">girl-pop-art</t>
  </si>
  <si>
    <t xml:space="preserve">gid://shopify/Product/7974455640163</t>
  </si>
  <si>
    <t xml:space="preserve">gid://shopify/ProductVariant/44041164521571</t>
  </si>
  <si>
    <t xml:space="preserve">https://cdn.shopify.com/s/files/1/0572/0077/1171/files/Artboard10_b1dbcdf4-ac79-4a55-b6db-ef17407f5894.png?v=1772825722</t>
  </si>
  <si>
    <t xml:space="preserve">Missile Pop Art</t>
  </si>
  <si>
    <t xml:space="preserve">missile-pop-art</t>
  </si>
  <si>
    <t xml:space="preserve">gid://shopify/Product/7974455771235</t>
  </si>
  <si>
    <t xml:space="preserve">gid://shopify/ProductVariant/44041164750947</t>
  </si>
  <si>
    <t xml:space="preserve">https://cdn.shopify.com/s/files/1/0572/0077/1171/files/Artboard10_0d7d1210-0da7-4151-bbcc-2ff07a87e9fe.png?v=1772825966</t>
  </si>
  <si>
    <t xml:space="preserve">Pindi Boy 1</t>
  </si>
  <si>
    <t xml:space="preserve">pindi-boy-1</t>
  </si>
  <si>
    <t xml:space="preserve">gid://shopify/Product/7974456623203</t>
  </si>
  <si>
    <t xml:space="preserve">gid://shopify/ProductVariant/44041168355427</t>
  </si>
  <si>
    <t xml:space="preserve">https://cdn.shopify.com/s/files/1/0572/0077/1171/files/Artboard6_39657761-42ea-432a-ab49-47fda3d86afe.png?v=1772825994</t>
  </si>
  <si>
    <t xml:space="preserve">Sakht Launda</t>
  </si>
  <si>
    <t xml:space="preserve">sakht-launda</t>
  </si>
  <si>
    <t xml:space="preserve">gid://shopify/Product/7974456754275</t>
  </si>
  <si>
    <t xml:space="preserve">gid://shopify/ProductVariant/44041169404003</t>
  </si>
  <si>
    <t xml:space="preserve">https://cdn.shopify.com/s/files/1/0572/0077/1171/files/Artboard6_8261f28e-48e7-462f-be97-3353ff6dd3a9.png?v=1772826013</t>
  </si>
  <si>
    <t xml:space="preserve">Name</t>
  </si>
  <si>
    <t xml:space="preserve">Kind</t>
  </si>
  <si>
    <t xml:space="preserve">Nav Category</t>
  </si>
  <si>
    <t xml:space="preserve">Subcollections</t>
  </si>
  <si>
    <t xml:space="preserve">Live On Shopify</t>
  </si>
  <si>
    <t xml:space="preserve">Shopify Handle</t>
  </si>
  <si>
    <t xml:space="preserve">Shopify Product GID</t>
  </si>
  <si>
    <t xml:space="preserve">Shopify Status</t>
  </si>
  <si>
    <t xml:space="preserve">Shopify Price (PKR)</t>
  </si>
  <si>
    <t xml:space="preserve">Variant GIDs</t>
  </si>
  <si>
    <t xml:space="preserve">animals</t>
  </si>
  <si>
    <t xml:space="preserve">gid://shopify/ProductVariant/41972684423267 | gid://shopify/ProductVariant/41972684456035</t>
  </si>
  <si>
    <t xml:space="preserve">gid://shopify/ProductVariant/41963501224035 | gid://shopify/ProductVariant/41963501256803</t>
  </si>
  <si>
    <t xml:space="preserve">gid://shopify/ProductVariant/41963492769891 | gid://shopify/ProductVariant/41963492802659</t>
  </si>
  <si>
    <t xml:space="preserve">gid://shopify/ProductVariant/41874375442531 | gid://shopify/ProductVariant/41985866891363</t>
  </si>
  <si>
    <t xml:space="preserve">gid://shopify/ProductVariant/41867231035491 | gid://shopify/ProductVariant/41973148549219</t>
  </si>
  <si>
    <t xml:space="preserve">animals, minimalistic</t>
  </si>
  <si>
    <t xml:space="preserve">gid://shopify/ProductVariant/41966097662051 | gid://shopify/ProductVariant/41972520124515</t>
  </si>
  <si>
    <t xml:space="preserve">personalities</t>
  </si>
  <si>
    <t xml:space="preserve">gid://shopify/ProductVariant/41963295244387 | gid://shopify/ProductVariant/41963295277155</t>
  </si>
  <si>
    <t xml:space="preserve">comics-superheroes</t>
  </si>
  <si>
    <t xml:space="preserve">gid://shopify/ProductVariant/42000415588451 | gid://shopify/ProductVariant/42000415621219</t>
  </si>
  <si>
    <t xml:space="preserve">gid://shopify/ProductVariant/42000423714915 | gid://shopify/ProductVariant/42000423747683 | gid://shopify/ProductVariant/42000423780451</t>
  </si>
  <si>
    <t xml:space="preserve">gid://shopify/ProductVariant/42000419061859 | gid://shopify/ProductVariant/42000419094627</t>
  </si>
  <si>
    <t xml:space="preserve">gid://shopify/ProductVariant/41963553718371 | gid://shopify/ProductVariant/41963553751139</t>
  </si>
  <si>
    <t xml:space="preserve">gid://shopify/ProductVariant/41965529137251 | gid://shopify/ProductVariant/41965529170019 | gid://shopify/ProductVariant/41965529202787</t>
  </si>
  <si>
    <t xml:space="preserve">gid://shopify/ProductVariant/41965569343587 | gid://shopify/ProductVariant/41972459044963 | gid://shopify/ProductVariant/41965569376355</t>
  </si>
  <si>
    <t xml:space="preserve">gid://shopify/ProductVariant/41965720862819 | gid://shopify/ProductVariant/41965720895587</t>
  </si>
  <si>
    <t xml:space="preserve">gid://shopify/ProductVariant/41965797113955 | gid://shopify/ProductVariant/41972475854947 | gid://shopify/ProductVariant/41965797146723</t>
  </si>
  <si>
    <t xml:space="preserve">gid://shopify/ProductVariant/41867185684579 | gid://shopify/ProductVariant/41972504232035 | gid://shopify/ProductVariant/41972504264803</t>
  </si>
  <si>
    <t xml:space="preserve">minimalistic</t>
  </si>
  <si>
    <t xml:space="preserve">gid://shopify/ProductVariant/41966121255011 | gid://shopify/ProductVariant/41966121287779 | gid://shopify/ProductVariant/41966121320547</t>
  </si>
  <si>
    <t xml:space="preserve">gid://shopify/ProductVariant/41966169489507 | gid://shopify/ProductVariant/41966169522275</t>
  </si>
  <si>
    <t xml:space="preserve">movies-pop</t>
  </si>
  <si>
    <t xml:space="preserve">gid://shopify/ProductVariant/41966215397475 | gid://shopify/ProductVariant/41966215430243</t>
  </si>
  <si>
    <t xml:space="preserve">gid://shopify/ProductVariant/41966262780003 | gid://shopify/ProductVariant/41966262812771 | gid://shopify/ProductVariant/41966262845539</t>
  </si>
  <si>
    <t xml:space="preserve">Deer Head</t>
  </si>
  <si>
    <t xml:space="preserve">gid://shopify/ProductVariant/41966249541731 | gid://shopify/ProductVariant/41966249574499 | gid://shopify/ProductVariant/41966249607267</t>
  </si>
  <si>
    <t xml:space="preserve">gid://shopify/ProductVariant/41874388811875 | gid://shopify/ProductVariant/41971868205155 | gid://shopify/ProductVariant/41971868237923</t>
  </si>
  <si>
    <t xml:space="preserve">gid://shopify/ProductVariant/41872950722659 | gid://shopify/ProductVariant/41972637270115</t>
  </si>
  <si>
    <t xml:space="preserve">Flower of Life</t>
  </si>
  <si>
    <t xml:space="preserve">gid://shopify/ProductVariant/41874387140707 | gid://shopify/ProductVariant/41972820148323 | gid://shopify/ProductVariant/41972820181091</t>
  </si>
  <si>
    <t xml:space="preserve">gid://shopify/ProductVariant/41873210933347 | gid://shopify/ProductVariant/41972827881571 | gid://shopify/ProductVariant/41972827914339</t>
  </si>
  <si>
    <t xml:space="preserve">gid://shopify/ProductVariant/41874381078627 | gid://shopify/ProductVariant/41972852850787 | gid://shopify/ProductVariant/41972852883555</t>
  </si>
  <si>
    <t xml:space="preserve">gid://shopify/ProductVariant/41873220141155 | gid://shopify/ProductVariant/41972858126435</t>
  </si>
  <si>
    <t xml:space="preserve">anime-manga</t>
  </si>
  <si>
    <t xml:space="preserve">gid://shopify/ProductVariant/42000595288163 | gid://shopify/ProductVariant/42000595320931</t>
  </si>
  <si>
    <t xml:space="preserve">cultural</t>
  </si>
  <si>
    <t xml:space="preserve">gid://shopify/ProductVariant/41874408341603 | gid://shopify/ProductVariant/41972877459555</t>
  </si>
  <si>
    <t xml:space="preserve">gid://shopify/ProductVariant/41874259968099 | gid://shopify/ProductVariant/41972894859363</t>
  </si>
  <si>
    <t xml:space="preserve">gid://shopify/ProductVariant/42000432365667 | gid://shopify/ProductVariant/42000432398435</t>
  </si>
  <si>
    <t xml:space="preserve">gid://shopify/ProductVariant/41874380095587 | gid://shopify/ProductVariant/41972945911907</t>
  </si>
  <si>
    <t xml:space="preserve">wall-love-heart</t>
  </si>
  <si>
    <t xml:space="preserve">Love Heart</t>
  </si>
  <si>
    <t xml:space="preserve">/products/wall-art/love-heart.svg</t>
  </si>
  <si>
    <t xml:space="preserve">NO MATCH</t>
  </si>
  <si>
    <t xml:space="preserve">gid://shopify/ProductVariant/41874412568675 | gid://shopify/ProductVariant/41973088682083</t>
  </si>
  <si>
    <t xml:space="preserve">gid://shopify/ProductVariant/41874263244899 | gid://shopify/ProductVariant/41973093761123</t>
  </si>
  <si>
    <t xml:space="preserve">gid://shopify/ProductVariant/41874413355107 | gid://shopify/ProductVariant/41973118468195</t>
  </si>
  <si>
    <t xml:space="preserve">gid://shopify/ProductVariant/41867220549731 | gid://shopify/ProductVariant/41973126168675 | gid://shopify/ProductVariant/41973126201443</t>
  </si>
  <si>
    <t xml:space="preserve">gid://shopify/ProductVariant/42000561537123 | gid://shopify/ProductVariant/42000561569891</t>
  </si>
  <si>
    <t xml:space="preserve">gid://shopify/ProductVariant/41874371543139 | gid://shopify/ProductVariant/41973212282979 | gid://shopify/ProductVariant/41973212315747</t>
  </si>
  <si>
    <t xml:space="preserve">Pulp Fiction V.1</t>
  </si>
  <si>
    <t xml:space="preserve">gid://shopify/ProductVariant/41874368036963 | gid://shopify/ProductVariant/41973255897187 | gid://shopify/ProductVariant/41973255929955</t>
  </si>
  <si>
    <t xml:space="preserve">gid://shopify/ProductVariant/42000583819363 | gid://shopify/ProductVariant/42000583852131 | gid://shopify/ProductVariant/42000583884899</t>
  </si>
  <si>
    <t xml:space="preserve">gid://shopify/ProductVariant/41867229167715 | gid://shopify/ProductVariant/41973281849443 | gid://shopify/ProductVariant/41973281882211</t>
  </si>
  <si>
    <t xml:space="preserve">animals, comics-superheroes</t>
  </si>
  <si>
    <t xml:space="preserve">gid://shopify/ProductVariant/42000589029475 | gid://shopify/ProductVariant/42000589062243 | gid://shopify/ProductVariant/43204323442787</t>
  </si>
  <si>
    <t xml:space="preserve">gid://shopify/ProductVariant/41873280729187 | gid://shopify/ProductVariant/41973194752099</t>
  </si>
  <si>
    <t xml:space="preserve">Tree of Life</t>
  </si>
  <si>
    <t xml:space="preserve">gid://shopify/ProductVariant/41874365579363 | gid://shopify/ProductVariant/41973188198499 | gid://shopify/ProductVariant/41973188231267</t>
  </si>
  <si>
    <t xml:space="preserve">anime-manga, comics-superheroes</t>
  </si>
  <si>
    <t xml:space="preserve">gid://shopify/ProductVariant/42000465002595 | gid://shopify/ProductVariant/42000465035363</t>
  </si>
  <si>
    <t xml:space="preserve">World Map Route</t>
  </si>
  <si>
    <t xml:space="preserve">Light House</t>
  </si>
  <si>
    <t xml:space="preserve">gid://shopify/ProductVariant/41874409652323 | gid://shopify/ProductVariant/41972960723043 | gid://shopify/ProductVariant/41972960657507</t>
  </si>
  <si>
    <t xml:space="preserve">gid://shopify/ProductVariant/43347107151971 | gid://shopify/ProductVariant/43347107184739</t>
  </si>
  <si>
    <t xml:space="preserve">gid://shopify/ProductVariant/43347148079203 | gid://shopify/ProductVariant/43347148111971</t>
  </si>
  <si>
    <t xml:space="preserve">gid://shopify/ProductVariant/41963285086307 | gid://shopify/ProductVariant/41963285119075</t>
  </si>
  <si>
    <t xml:space="preserve">gid://shopify/ProductVariant/43190319808611 | gid://shopify/ProductVariant/41963294326883 | gid://shopify/ProductVariant/41963294294115</t>
  </si>
  <si>
    <t xml:space="preserve">gid://shopify/ProductVariant/41972372996195 | gid://shopify/ProductVariant/41963296620643 | gid://shopify/ProductVariant/41963296587875</t>
  </si>
  <si>
    <t xml:space="preserve">gid://shopify/ProductVariant/41963462525027 | gid://shopify/ProductVariant/41963462557795</t>
  </si>
  <si>
    <t xml:space="preserve">Aren't pandas</t>
  </si>
  <si>
    <t xml:space="preserve">gid://shopify/ProductVariant/41972400783459 | gid://shopify/ProductVariant/41963468849251 | gid://shopify/ProductVariant/41963468882019</t>
  </si>
  <si>
    <t xml:space="preserve">gid://shopify/ProductVariant/41972405305443 | gid://shopify/ProductVariant/41963471568995 | gid://shopify/ProductVariant/41963471601763</t>
  </si>
  <si>
    <t xml:space="preserve">Aristoteles</t>
  </si>
  <si>
    <t xml:space="preserve">gid://shopify/ProductVariant/41963475959907 | gid://shopify/ProductVariant/41963475992675</t>
  </si>
  <si>
    <t xml:space="preserve">gid://shopify/ProductVariant/41963520786531 | gid://shopify/ProductVariant/41963520819299</t>
  </si>
  <si>
    <t xml:space="preserve">gid://shopify/ProductVariant/41963548016739 | gid://shopify/ProductVariant/41963548049507</t>
  </si>
  <si>
    <t xml:space="preserve">gid://shopify/ProductVariant/41965493485667 | gid://shopify/ProductVariant/41965493518435 | gid://shopify/ProductVariant/41965493551203</t>
  </si>
  <si>
    <t xml:space="preserve">Butterfly-1</t>
  </si>
  <si>
    <t xml:space="preserve">gid://shopify/ProductVariant/41966002208867 | gid://shopify/ProductVariant/41966002274403 | gid://shopify/ProductVariant/41966002241635</t>
  </si>
  <si>
    <t xml:space="preserve">Butterfly-2</t>
  </si>
  <si>
    <t xml:space="preserve">gid://shopify/ProductVariant/41966028062819 | gid://shopify/ProductVariant/41972492796003 | gid://shopify/ProductVariant/41966028095587</t>
  </si>
  <si>
    <t xml:space="preserve">gid://shopify/ProductVariant/41966038777955 | gid://shopify/ProductVariant/41966038810723</t>
  </si>
  <si>
    <t xml:space="preserve">wall-cat-1</t>
  </si>
  <si>
    <t xml:space="preserve">/products/wall-art/cat-1.svg</t>
  </si>
  <si>
    <t xml:space="preserve">gid://shopify/ProductVariant/41972507934819 | gid://shopify/ProductVariant/41966068334691 | gid://shopify/ProductVariant/41966068367459</t>
  </si>
  <si>
    <t xml:space="preserve">wall-circle-of-life-12x12</t>
  </si>
  <si>
    <t xml:space="preserve">Circle of Life 12x12</t>
  </si>
  <si>
    <t xml:space="preserve">/products/wall-art/circle-of-life-12x12.svg</t>
  </si>
  <si>
    <t xml:space="preserve">Creation Of Adam new</t>
  </si>
  <si>
    <t xml:space="preserve">gid://shopify/ProductVariant/41972554006627 | gid://shopify/ProductVariant/43191658479715 | gid://shopify/ProductVariant/41966221885539</t>
  </si>
  <si>
    <t xml:space="preserve">Daupor</t>
  </si>
  <si>
    <t xml:space="preserve">gid://shopify/ProductVariant/41966227095651 | gid://shopify/ProductVariant/41972556922979 | gid://shopify/ProductVariant/41966227128419</t>
  </si>
  <si>
    <t xml:space="preserve">gid://shopify/ProductVariant/41966274216035 | gid://shopify/ProductVariant/41972573798499</t>
  </si>
  <si>
    <t xml:space="preserve">gid://shopify/ProductVariant/41966288175203 | gid://shopify/ProductVariant/41966288207971</t>
  </si>
  <si>
    <t xml:space="preserve">deer 1</t>
  </si>
  <si>
    <t xml:space="preserve">gid://shopify/ProductVariant/41966304493667 | gid://shopify/ProductVariant/41966304526435</t>
  </si>
  <si>
    <t xml:space="preserve">deer 3</t>
  </si>
  <si>
    <t xml:space="preserve">gid://shopify/ProductVariant/41874254037091 | gid://shopify/ProductVariant/41970928812131 | gid://shopify/ProductVariant/41970928844899</t>
  </si>
  <si>
    <t xml:space="preserve">deer in forest</t>
  </si>
  <si>
    <t xml:space="preserve">gid://shopify/ProductVariant/41971255836771 | gid://shopify/ProductVariant/41872918282339</t>
  </si>
  <si>
    <t xml:space="preserve">Deer-4</t>
  </si>
  <si>
    <t xml:space="preserve">gid://shopify/ProductVariant/41985180532835 | gid://shopify/ProductVariant/41985180565603</t>
  </si>
  <si>
    <t xml:space="preserve">Dekoratif Tablo</t>
  </si>
  <si>
    <t xml:space="preserve">gid://shopify/ProductVariant/41872930668643 | gid://shopify/ProductVariant/41971535183971 | gid://shopify/ProductVariant/41971535216739</t>
  </si>
  <si>
    <t xml:space="preserve">Dragon Ball Goku 1</t>
  </si>
  <si>
    <t xml:space="preserve">gid://shopify/ProductVariant/41874388713571 | gid://shopify/ProductVariant/41972054622307</t>
  </si>
  <si>
    <t xml:space="preserve">Eagle 1</t>
  </si>
  <si>
    <t xml:space="preserve">gid://shopify/ProductVariant/41872964157539 | gid://shopify/ProductVariant/41972644380771</t>
  </si>
  <si>
    <t xml:space="preserve">gid://shopify/ProductVariant/43346901205091 | gid://shopify/ProductVariant/43346901237859</t>
  </si>
  <si>
    <t xml:space="preserve">ethnic ornaments</t>
  </si>
  <si>
    <t xml:space="preserve">gid://shopify/ProductVariant/41873179246691 | gid://shopify/ProductVariant/41972723056739</t>
  </si>
  <si>
    <t xml:space="preserve">gid://shopify/ProductVariant/41874395201635 | gid://shopify/ProductVariant/41972792688739</t>
  </si>
  <si>
    <t xml:space="preserve">gid://shopify/ProductVariant/41867211472995 | gid://shopify/ProductVariant/41972810088547</t>
  </si>
  <si>
    <t xml:space="preserve">Forrest wolf</t>
  </si>
  <si>
    <t xml:space="preserve">gid://shopify/ProductVariant/41873185177699 | gid://shopify/ProductVariant/41972823621731 | gid://shopify/ProductVariant/41972823654499</t>
  </si>
  <si>
    <t xml:space="preserve">gid://shopify/ProductVariant/41874255609955 | gid://shopify/ProductVariant/41972833419363</t>
  </si>
  <si>
    <t xml:space="preserve">gid://shopify/ProductVariant/41867212554339 | gid://shopify/ProductVariant/41972847050851</t>
  </si>
  <si>
    <t xml:space="preserve">gid://shopify/ProductVariant/43346795135075 | gid://shopify/ProductVariant/43346795167843</t>
  </si>
  <si>
    <t xml:space="preserve">gid://shopify/ProductVariant/43346841567331 | gid://shopify/ProductVariant/43346841600099</t>
  </si>
  <si>
    <t xml:space="preserve">gid://shopify/ProductVariant/43346934300771 | gid://shopify/ProductVariant/43346934333539</t>
  </si>
  <si>
    <t xml:space="preserve">gid://shopify/ProductVariant/43346966315107 | gid://shopify/ProductVariant/43346966347875</t>
  </si>
  <si>
    <t xml:space="preserve">gid://shopify/ProductVariant/41972861796451 | gid://shopify/ProductVariant/41972861829219</t>
  </si>
  <si>
    <t xml:space="preserve">gid://shopify/ProductVariant/41874380292195 | gid://shopify/ProductVariant/41972883226723</t>
  </si>
  <si>
    <t xml:space="preserve">gid://shopify/ProductVariant/43348985774179 | gid://shopify/ProductVariant/43348985806947 | gid://shopify/ProductVariant/43348985839715</t>
  </si>
  <si>
    <t xml:space="preserve">Horse 2</t>
  </si>
  <si>
    <t xml:space="preserve">gid://shopify/ProductVariant/41874261442659 | gid://shopify/ProductVariant/41972897939555</t>
  </si>
  <si>
    <t xml:space="preserve">Indigenous v.3</t>
  </si>
  <si>
    <t xml:space="preserve">gid://shopify/ProductVariant/41867214717027 | gid://shopify/ProductVariant/41972906066019</t>
  </si>
  <si>
    <t xml:space="preserve">gid://shopify/ProductVariant/41873250189411 | gid://shopify/ProductVariant/41972911669347</t>
  </si>
  <si>
    <t xml:space="preserve">gid://shopify/ProductVariant/42000567042147 | gid://shopify/ProductVariant/42000567074915</t>
  </si>
  <si>
    <t xml:space="preserve">JOYRESIDE Deer</t>
  </si>
  <si>
    <t xml:space="preserve">gid://shopify/ProductVariant/41867215503459 | gid://shopify/ProductVariant/41972917108835</t>
  </si>
  <si>
    <t xml:space="preserve">gid://shopify/ProductVariant/41867217469539 | gid://shopify/ProductVariant/41972920057955</t>
  </si>
  <si>
    <t xml:space="preserve">gid://shopify/ProductVariant/42000439083107 | gid://shopify/ProductVariant/42000439115875</t>
  </si>
  <si>
    <t xml:space="preserve">wall-lady-diana</t>
  </si>
  <si>
    <t xml:space="preserve">Lady Diana</t>
  </si>
  <si>
    <t xml:space="preserve">/products/wall-art/lady-diana.svg</t>
  </si>
  <si>
    <t xml:space="preserve">gid://shopify/ProductVariant/41972935065699 | gid://shopify/ProductVariant/41972935098467</t>
  </si>
  <si>
    <t xml:space="preserve">gid://shopify/ProductVariant/41873261133923 | gid://shopify/ProductVariant/41972968620131 | gid://shopify/ProductVariant/41972968652899</t>
  </si>
  <si>
    <t xml:space="preserve">gid://shopify/ProductVariant/41874375835747 | gid://shopify/ProductVariant/41972973666403 | gid://shopify/ProductVariant/41972973699171</t>
  </si>
  <si>
    <t xml:space="preserve">lines metal wall art</t>
  </si>
  <si>
    <t xml:space="preserve">gid://shopify/ProductVariant/41874396053603 | gid://shopify/ProductVariant/41972976222307</t>
  </si>
  <si>
    <t xml:space="preserve">gid://shopify/ProductVariant/41874396282979 | gid://shopify/ProductVariant/41973065154659</t>
  </si>
  <si>
    <t xml:space="preserve">wall-love-heart-tree</t>
  </si>
  <si>
    <t xml:space="preserve">Love heart Tree</t>
  </si>
  <si>
    <t xml:space="preserve">/products/wall-art/love-heart-tree.svg</t>
  </si>
  <si>
    <t xml:space="preserve">wall-love-tree</t>
  </si>
  <si>
    <t xml:space="preserve">Love tree</t>
  </si>
  <si>
    <t xml:space="preserve">/products/wall-art/love-tree.svg</t>
  </si>
  <si>
    <t xml:space="preserve">gid://shopify/ProductVariant/41973040775267 | gid://shopify/ProductVariant/41973040808035</t>
  </si>
  <si>
    <t xml:space="preserve">gid://shopify/ProductVariant/41874396184675 | gid://shopify/ProductVariant/41973058699363</t>
  </si>
  <si>
    <t xml:space="preserve">gid://shopify/ProductVariant/41973082783843 | gid://shopify/ProductVariant/41973082816611</t>
  </si>
  <si>
    <t xml:space="preserve">gid://shopify/ProductVariant/41874396905571 | gid://shopify/ProductVariant/41973086355555</t>
  </si>
  <si>
    <t xml:space="preserve">Marla Singer new</t>
  </si>
  <si>
    <t xml:space="preserve">gid://shopify/ProductVariant/41874411847779 | gid://shopify/ProductVariant/41973068169315</t>
  </si>
  <si>
    <t xml:space="preserve">gid://shopify/ProductVariant/42000535617635 | gid://shopify/ProductVariant/42000535650403</t>
  </si>
  <si>
    <t xml:space="preserve">gid://shopify/ProductVariant/42000538763363 | gid://shopify/ProductVariant/42000538796131</t>
  </si>
  <si>
    <t xml:space="preserve">personalities, cultural</t>
  </si>
  <si>
    <t xml:space="preserve">cars</t>
  </si>
  <si>
    <t xml:space="preserve">gid://shopify/ProductVariant/42000548331619 | gid://shopify/ProductVariant/42000548364387</t>
  </si>
  <si>
    <t xml:space="preserve">gid://shopify/ProductVariant/41874373116003 | gid://shopify/ProductVariant/41973108572259 | gid://shopify/ProductVariant/41973108605027</t>
  </si>
  <si>
    <t xml:space="preserve">gid://shopify/ProductVariant/41867224449123 | gid://shopify/ProductVariant/41973206745187</t>
  </si>
  <si>
    <t xml:space="preserve">Nissan</t>
  </si>
  <si>
    <t xml:space="preserve">gid://shopify/ProductVariant/42000563732579 | gid://shopify/ProductVariant/42000563765347</t>
  </si>
  <si>
    <t xml:space="preserve">gid://shopify/ProductVariant/41874413944931 | gid://shopify/ProductVariant/41973224144995</t>
  </si>
  <si>
    <t xml:space="preserve">Pulp Fiction v.2</t>
  </si>
  <si>
    <t xml:space="preserve">gid://shopify/ProductVariant/41874397757539 | gid://shopify/ProductVariant/41973261402211</t>
  </si>
  <si>
    <t xml:space="preserve">gid://shopify/ProductVariant/41867226906723 | gid://shopify/ProductVariant/41973268512867 | gid://shopify/ProductVariant/41973268545635</t>
  </si>
  <si>
    <t xml:space="preserve">gid://shopify/ProductVariant/43347021856867 | gid://shopify/ProductVariant/43347021889635 | gid://shopify/ProductVariant/43347021922403</t>
  </si>
  <si>
    <t xml:space="preserve">Seahorses</t>
  </si>
  <si>
    <t xml:space="preserve">gid://shopify/ProductVariant/41873270603875 | gid://shopify/ProductVariant/41985984299107 | gid://shopify/ProductVariant/41973291679843</t>
  </si>
  <si>
    <t xml:space="preserve">Siamese twin</t>
  </si>
  <si>
    <t xml:space="preserve">gid://shopify/ProductVariant/41873275584611 | gid://shopify/ProductVariant/41973277589603 | gid://shopify/ProductVariant/41973277622371</t>
  </si>
  <si>
    <t xml:space="preserve">Silva 4</t>
  </si>
  <si>
    <t xml:space="preserve">gid://shopify/ProductVariant/41874263834723 | gid://shopify/ProductVariant/41973274738787</t>
  </si>
  <si>
    <t xml:space="preserve">gid://shopify/ProductVariant/41874365907043 | gid://shopify/ProductVariant/41973251506275</t>
  </si>
  <si>
    <t xml:space="preserve">STORMTROOPER</t>
  </si>
  <si>
    <t xml:space="preserve">comics-superheroes, movies-pop</t>
  </si>
  <si>
    <t xml:space="preserve">gid://shopify/ProductVariant/41873279090787 | gid://shopify/ProductVariant/41973245575267 | gid://shopify/ProductVariant/41973245608035</t>
  </si>
  <si>
    <t xml:space="preserve">gid://shopify/ProductVariant/41874398347363 | gid://shopify/ProductVariant/41973228273763 | gid://shopify/ProductVariant/41973228306531</t>
  </si>
  <si>
    <t xml:space="preserve">Themis V.1</t>
  </si>
  <si>
    <t xml:space="preserve">gid://shopify/ProductVariant/41874414141539 | gid://shopify/ProductVariant/41973197865059</t>
  </si>
  <si>
    <t xml:space="preserve">gid://shopify/ProductVariant/42000602595427 | gid://shopify/ProductVariant/42000602628195 | gid://shopify/ProductVariant/42000602660963</t>
  </si>
  <si>
    <t xml:space="preserve">gid://shopify/ProductVariant/41874361647203 | gid://shopify/ProductVariant/41986067890275 | gid://shopify/ProductVariant/41973184462947</t>
  </si>
  <si>
    <t xml:space="preserve">trio bike</t>
  </si>
  <si>
    <t xml:space="preserve">gid://shopify/ProductVariant/41874361024611 | gid://shopify/ProductVariant/41973176008803</t>
  </si>
  <si>
    <t xml:space="preserve">Tupac-2pac</t>
  </si>
  <si>
    <t xml:space="preserve">gid://shopify/ProductVariant/41874399035491 | gid://shopify/ProductVariant/41973167816803</t>
  </si>
  <si>
    <t xml:space="preserve">gid://shopify/ProductVariant/41874399395939 | gid://shopify/ProductVariant/41973162836067</t>
  </si>
  <si>
    <t xml:space="preserve">gid://shopify/ProductVariant/41874400051299 | gid://shopify/ProductVariant/41973160771683 | gid://shopify/ProductVariant/41973160804451</t>
  </si>
  <si>
    <t xml:space="preserve">wall-wolf-4</t>
  </si>
  <si>
    <t xml:space="preserve">Wolf 4</t>
  </si>
  <si>
    <t xml:space="preserve">/products/wall-art/wolf-4.svg</t>
  </si>
  <si>
    <t xml:space="preserve">Wolf-1</t>
  </si>
  <si>
    <t xml:space="preserve">gid://shopify/ProductVariant/41873320280163 | gid://shopify/ProductVariant/41973143863395 | gid://shopify/ProductVariant/41973143896163</t>
  </si>
  <si>
    <t xml:space="preserve">digital</t>
  </si>
  <si>
    <t xml:space="preserve">comics-movies</t>
  </si>
  <si>
    <t xml:space="preserve">gid://shopify/ProductVariant/42125642596451 | gid://shopify/ProductVariant/43541064548451 | gid://shopify/ProductVariant/42023661502563 | gid://shopify/ProductVariant/42023661600867</t>
  </si>
  <si>
    <t xml:space="preserve">digital-joker</t>
  </si>
  <si>
    <t xml:space="preserve">/products/digital/final/joker.jpg</t>
  </si>
  <si>
    <t xml:space="preserve">gid://shopify/ProductVariant/42125647904867 | gid://shopify/ProductVariant/43540149174371 | gid://shopify/ProductVariant/42113672806499 | gid://shopify/ProductVariant/42113673265251</t>
  </si>
  <si>
    <t xml:space="preserve">Naruto In The Dark</t>
  </si>
  <si>
    <t xml:space="preserve">anime-naruto</t>
  </si>
  <si>
    <t xml:space="preserve">gid://shopify/ProductVariant/43581953278051 | gid://shopify/ProductVariant/43581953310819 | gid://shopify/ProductVariant/43581953343587 | gid://shopify/ProductVariant/43581953376355</t>
  </si>
  <si>
    <t xml:space="preserve">comics-movies, neon-ladies</t>
  </si>
  <si>
    <t xml:space="preserve">gid://shopify/ProductVariant/42125511819363 | gid://shopify/ProductVariant/43540172341347 | gid://shopify/ProductVariant/42113206288483 | gid://shopify/ProductVariant/42113206386787</t>
  </si>
  <si>
    <t xml:space="preserve">gid://shopify/ProductVariant/43540155433059 | gid://shopify/ProductVariant/42125664518243 | gid://shopify/ProductVariant/42113313407075 | gid://shopify/ProductVariant/42113313505379</t>
  </si>
  <si>
    <t xml:space="preserve">gid://shopify/ProductVariant/43541901181027 | gid://shopify/ProductVariant/43541901213795 | gid://shopify/ProductVariant/43541901246563 | gid://shopify/ProductVariant/43541901279331</t>
  </si>
  <si>
    <t xml:space="preserve">digital-itachi-red-png</t>
  </si>
  <si>
    <t xml:space="preserve">Itachi Red PNG</t>
  </si>
  <si>
    <t xml:space="preserve">/products/digital/final/itachi-red-png.png</t>
  </si>
  <si>
    <t xml:space="preserve">gid://shopify/ProductVariant/43541954068579 | gid://shopify/ProductVariant/43541954101347 | gid://shopify/ProductVariant/43541954134115 | gid://shopify/ProductVariant/43541954166883</t>
  </si>
  <si>
    <t xml:space="preserve">digital-pain-png</t>
  </si>
  <si>
    <t xml:space="preserve">Pain PNG</t>
  </si>
  <si>
    <t xml:space="preserve">/products/digital/final/pain-png.png</t>
  </si>
  <si>
    <t xml:space="preserve">gid://shopify/ProductVariant/43541919400035 | gid://shopify/ProductVariant/43541919432803 | gid://shopify/ProductVariant/43541919465571 | gid://shopify/ProductVariant/43541919498339</t>
  </si>
  <si>
    <t xml:space="preserve">digital-madara-sharingan</t>
  </si>
  <si>
    <t xml:space="preserve">Madara Sharingan</t>
  </si>
  <si>
    <t xml:space="preserve">/products/digital/final/madara-sharingan.jpg</t>
  </si>
  <si>
    <t xml:space="preserve">gid://shopify/ProductVariant/43541948399715 | gid://shopify/ProductVariant/43541948432483 | gid://shopify/ProductVariant/43541948465251 | gid://shopify/ProductVariant/43541948498019</t>
  </si>
  <si>
    <t xml:space="preserve">digital-ronaldo</t>
  </si>
  <si>
    <t xml:space="preserve">cars-sports</t>
  </si>
  <si>
    <t xml:space="preserve">/products/digital/final/ronaldo.jpg</t>
  </si>
  <si>
    <t xml:space="preserve">gid://shopify/ProductVariant/42125597278307 | gid://shopify/ProductVariant/43540133019747 | gid://shopify/ProductVariant/42113772257379 | gid://shopify/ProductVariant/43687384744035</t>
  </si>
  <si>
    <t xml:space="preserve">gid://shopify/ProductVariant/42125652820067 | gid://shopify/ProductVariant/43540128432227 | gid://shopify/ProductVariant/42114059599971 | gid://shopify/ProductVariant/42114059698275</t>
  </si>
  <si>
    <t xml:space="preserve">cultural-digital</t>
  </si>
  <si>
    <t xml:space="preserve">gid://shopify/ProductVariant/43541214265443 | gid://shopify/ProductVariant/42125686014051 | gid://shopify/ProductVariant/41867147411555 | gid://shopify/ProductVariant/41973301411939</t>
  </si>
  <si>
    <t xml:space="preserve">Lighthouse Stained Glass</t>
  </si>
  <si>
    <t xml:space="preserve">stained-classical</t>
  </si>
  <si>
    <t xml:space="preserve">gid://shopify/ProductVariant/43539839451235 | gid://shopify/ProductVariant/43346333761635 | gid://shopify/ProductVariant/43346333827171 | gid://shopify/ProductVariant/43346333892707</t>
  </si>
  <si>
    <t xml:space="preserve">Lady Stained Glass</t>
  </si>
  <si>
    <t xml:space="preserve">gid://shopify/ProductVariant/43539836567651 | gid://shopify/ProductVariant/43346499567715 | gid://shopify/ProductVariant/43346499633251 | gid://shopify/ProductVariant/43346499698787</t>
  </si>
  <si>
    <t xml:space="preserve">Piano Stained Glass</t>
  </si>
  <si>
    <t xml:space="preserve">gid://shopify/ProductVariant/43539840139363 | gid://shopify/ProductVariant/43346237358179 | gid://shopify/ProductVariant/43346237423715 | gid://shopify/ProductVariant/43346237489251</t>
  </si>
  <si>
    <t xml:space="preserve">digital-roman-colosseum-i</t>
  </si>
  <si>
    <t xml:space="preserve">Roman Colosseum I</t>
  </si>
  <si>
    <t xml:space="preserve">/products/digital/final/roman-colosseum-i.jpg</t>
  </si>
  <si>
    <t xml:space="preserve">digital-roman-colosseum-ii</t>
  </si>
  <si>
    <t xml:space="preserve">Roman Colosseum II</t>
  </si>
  <si>
    <t xml:space="preserve">/products/digital/final/roman-colosseum-ii.jpg</t>
  </si>
  <si>
    <t xml:space="preserve">digital-roman-colosseum-iii</t>
  </si>
  <si>
    <t xml:space="preserve">Roman Colosseum III</t>
  </si>
  <si>
    <t xml:space="preserve">/products/digital/final/roman-colosseum-iii.jpg</t>
  </si>
  <si>
    <t xml:space="preserve">digital-neon-smoking-lady</t>
  </si>
  <si>
    <t xml:space="preserve">Neon Smoking Lady</t>
  </si>
  <si>
    <t xml:space="preserve">stained-classical, neon-ladies</t>
  </si>
  <si>
    <t xml:space="preserve">/products/digital/final/neon-smoking-lady.jpg</t>
  </si>
  <si>
    <t xml:space="preserve">digital-smoking-lady-neon</t>
  </si>
  <si>
    <t xml:space="preserve">Smoking Lady Neon</t>
  </si>
  <si>
    <t xml:space="preserve">/products/digital/final/smoking-lady-neon.jpg</t>
  </si>
  <si>
    <t xml:space="preserve">Scarlet Haze</t>
  </si>
  <si>
    <t xml:space="preserve">neon-ladies</t>
  </si>
  <si>
    <t xml:space="preserve">gid://shopify/ProductVariant/43749488427107 | gid://shopify/ProductVariant/43749488459875 | gid://shopify/ProductVariant/43749488492643 | gid://shopify/ProductVariant/43749488525411</t>
  </si>
  <si>
    <t xml:space="preserve">Electric Grace</t>
  </si>
  <si>
    <t xml:space="preserve">gid://shopify/ProductVariant/43749503369315 | gid://shopify/ProductVariant/43749503402083 | gid://shopify/ProductVariant/43749503434851 | gid://shopify/ProductVariant/43749503467619</t>
  </si>
  <si>
    <t xml:space="preserve">Shaan</t>
  </si>
  <si>
    <t xml:space="preserve">gid://shopify/ProductVariant/43749485609059 | gid://shopify/ProductVariant/43749485641827 | gid://shopify/ProductVariant/43749485674595 | gid://shopify/ProductVariant/43749485707363</t>
  </si>
  <si>
    <t xml:space="preserve">digital-smoking-lady-variant</t>
  </si>
  <si>
    <t xml:space="preserve">Smoking Lady Variant</t>
  </si>
  <si>
    <t xml:space="preserve">/products/digital/final/smoking-lady-variant.jpg</t>
  </si>
  <si>
    <t xml:space="preserve">Smoking Lady 12x18</t>
  </si>
  <si>
    <t xml:space="preserve">gid://shopify/ProductVariant/43541215805539 | gid://shopify/ProductVariant/42125668778083 | gid://shopify/ProductVariant/41867122311267 | gid://shopify/ProductVariant/41973215985763</t>
  </si>
  <si>
    <t xml:space="preserve">Layered Wolf</t>
  </si>
  <si>
    <t xml:space="preserve">layered</t>
  </si>
  <si>
    <t xml:space="preserve">4 SVG layers</t>
  </si>
  <si>
    <t xml:space="preserve">gid://shopify/ProductVariant/43927468277859 | gid://shopify/ProductVariant/43927468310627</t>
  </si>
  <si>
    <t xml:space="preserve">Layered Bear</t>
  </si>
  <si>
    <t xml:space="preserve">6 SVG layers</t>
  </si>
  <si>
    <t xml:space="preserve">gid://shopify/ProductVariant/43927469916259 | gid://shopify/ProductVariant/43927469949027</t>
  </si>
  <si>
    <t xml:space="preserve">gid://shopify/ProductVariant/43911148011619 | gid://shopify/ProductVariant/43911148044387</t>
  </si>
  <si>
    <t xml:space="preserve">gid://shopify/ProductVariant/43911112884323 | gid://shopify/ProductVariant/43916056232035</t>
  </si>
  <si>
    <t xml:space="preserve">layered-motorcycle</t>
  </si>
  <si>
    <t xml:space="preserve">Motorcycle Wall Panel</t>
  </si>
  <si>
    <t xml:space="preserve">5 SVG layers</t>
  </si>
  <si>
    <t xml:space="preserve">object-panther</t>
  </si>
  <si>
    <t xml:space="preserve">Panther</t>
  </si>
  <si>
    <t xml:space="preserve">object</t>
  </si>
  <si>
    <t xml:space="preserve">/products/3d/panther.stl</t>
  </si>
  <si>
    <t xml:space="preserve">object-fidget-central-gear</t>
  </si>
  <si>
    <t xml:space="preserve">Fidget Central Gear</t>
  </si>
  <si>
    <t xml:space="preserve">/products/3d/fidget-central-gear.stl</t>
  </si>
  <si>
    <t xml:space="preserve">object-batarang-6mm</t>
  </si>
  <si>
    <t xml:space="preserve">Batarang 6mm</t>
  </si>
  <si>
    <t xml:space="preserve">/products/3d/batarang-6mm.stl</t>
  </si>
  <si>
    <t xml:space="preserve">object-batman-bookmark</t>
  </si>
  <si>
    <t xml:space="preserve">Batman Bookmark</t>
  </si>
  <si>
    <t xml:space="preserve">/products/3d/batman-bookmark.stl</t>
  </si>
  <si>
    <t xml:space="preserve">object-picture-frame-corner-2mm</t>
  </si>
  <si>
    <t xml:space="preserve">Picture Frame Corner 2mm</t>
  </si>
  <si>
    <t xml:space="preserve">/products/3d/picture-frame-corner-2mm.stl</t>
  </si>
  <si>
    <t xml:space="preserve">object-picture-frame-corner-3mm</t>
  </si>
  <si>
    <t xml:space="preserve">Picture Frame Corner 3mm</t>
  </si>
  <si>
    <t xml:space="preserve">/products/3d/picture-frame-corner-3mm.stl</t>
  </si>
  <si>
    <t xml:space="preserve">object-mini-joker</t>
  </si>
  <si>
    <t xml:space="preserve">Mini Joker 80mm</t>
  </si>
  <si>
    <t xml:space="preserve">/products/3d/mini-joker.stl</t>
  </si>
  <si>
    <t xml:space="preserve">object-mini-superman</t>
  </si>
  <si>
    <t xml:space="preserve">Mini Superman 80mm</t>
  </si>
  <si>
    <t xml:space="preserve">/products/3d/mini-superman.stl</t>
  </si>
  <si>
    <t xml:space="preserve">object-flexi-cat</t>
  </si>
  <si>
    <t xml:space="preserve">Flexi Cat</t>
  </si>
  <si>
    <t xml:space="preserve">/products/3d/flexi-cat.stl</t>
  </si>
  <si>
    <t xml:space="preserve">object-lamp-base</t>
  </si>
  <si>
    <t xml:space="preserve">Lamp Base</t>
  </si>
  <si>
    <t xml:space="preserve">/products/3d/lamp-base.stl</t>
  </si>
  <si>
    <t xml:space="preserve">LED Lamp Shade</t>
  </si>
  <si>
    <t xml:space="preserve">gid://shopify/ProductVariant/43897537003619 | gid://shopify/ProductVariant/43897537036387 | gid://shopify/ProductVariant/43897537069155</t>
  </si>
  <si>
    <t xml:space="preserve">object-batman-figure-130mm</t>
  </si>
  <si>
    <t xml:space="preserve">Batman Figure 130mm</t>
  </si>
  <si>
    <t xml:space="preserve">/products/3d/batman-figure-130mm.stl</t>
  </si>
  <si>
    <t xml:space="preserve">object-batman-stand-150mm</t>
  </si>
  <si>
    <t xml:space="preserve">Batman Stand 150mm</t>
  </si>
  <si>
    <t xml:space="preserve">/products/3d/batman-stand-150mm.stl</t>
  </si>
  <si>
    <t xml:space="preserve">object-mini-batman-90mm</t>
  </si>
  <si>
    <t xml:space="preserve">Mini Batman 90mm</t>
  </si>
  <si>
    <t xml:space="preserve">/products/3d/mini-batman-90mm.stl</t>
  </si>
  <si>
    <t xml:space="preserve">Mini Armored Batman 90mm</t>
  </si>
  <si>
    <t xml:space="preserve">gid://shopify/ProductVariant/43897541263459 | gid://shopify/ProductVariant/43897541296227 | gid://shopify/ProductVariant/43897541328995</t>
  </si>
  <si>
    <t xml:space="preserve">Sort</t>
  </si>
  <si>
    <t xml:space="preserve">Collection Title</t>
  </si>
  <si>
    <t xml:space="preserve">Collection GID</t>
  </si>
  <si>
    <t xml:space="preserve">Nav Category (3D site)</t>
  </si>
  <si>
    <t xml:space="preserve">Products</t>
  </si>
  <si>
    <t xml:space="preserve">Matched To Local</t>
  </si>
  <si>
    <t xml:space="preserve">Sample Products (first 8 handles)</t>
  </si>
  <si>
    <t xml:space="preserve">2d-wallart</t>
  </si>
  <si>
    <t xml:space="preserve">gid://shopify/Collection/276274217059</t>
  </si>
  <si>
    <t xml:space="preserve">ninja, mk4-toyota, ronaldo, kaico, nissan, m2-marla-singer, athena, dragon-ball-goku-1</t>
  </si>
  <si>
    <t xml:space="preserve">Animals</t>
  </si>
  <si>
    <t xml:space="preserve">animal-2d-wall-art</t>
  </si>
  <si>
    <t xml:space="preserve">gid://shopify/Collection/276867317859</t>
  </si>
  <si>
    <t xml:space="preserve">elegant-horse-head, welters-monkey, owl-1, wolf-2, cat-eyes, cat-greyscale, blue-fish, orange-fish</t>
  </si>
  <si>
    <t xml:space="preserve">Anime/Manga</t>
  </si>
  <si>
    <t xml:space="preserve">anime-mangaall</t>
  </si>
  <si>
    <t xml:space="preserve">gid://shopify/Collection/276977385571</t>
  </si>
  <si>
    <t xml:space="preserve">—</t>
  </si>
  <si>
    <t xml:space="preserve">ninja, kaico, dragon-ball-goku-1, realistic-demon-slayer-rengoku, naruto-in-the-dark, jiraiya-the-sage, jiraiya-and-pain, itachi-black-on-red</t>
  </si>
  <si>
    <t xml:space="preserve">Comics and Superheroes</t>
  </si>
  <si>
    <t xml:space="preserve">comics-and-superheroes-2d</t>
  </si>
  <si>
    <t xml:space="preserve">gid://shopify/Collection/276977418339</t>
  </si>
  <si>
    <t xml:space="preserve">venom, joker-dark-knight, black-panther-1, new-2, ironman, jocker, joker-black-and-white, joker-disobey</t>
  </si>
  <si>
    <t xml:space="preserve">Maths and Nature</t>
  </si>
  <si>
    <t xml:space="preserve">maths-and-nature</t>
  </si>
  <si>
    <t xml:space="preserve">gid://shopify/Collection/276977582179</t>
  </si>
  <si>
    <t xml:space="preserve">decor-wall-frames, lucid, mode, silva, circle-of-life, adera, four-quls-tree, cat-4</t>
  </si>
  <si>
    <t xml:space="preserve">Minimalistic and Classical Art</t>
  </si>
  <si>
    <t xml:space="preserve">gid://shopify/Collection/276977614947</t>
  </si>
  <si>
    <t xml:space="preserve">athena, roman-colloseum-painting-set, africans, abstract-calligraphy, abstract, themis-v-1, creation-of-adam, lucid</t>
  </si>
  <si>
    <t xml:space="preserve">Personalities</t>
  </si>
  <si>
    <t xml:space="preserve">gid://shopify/Collection/276977778787</t>
  </si>
  <si>
    <t xml:space="preserve">ronaldo, m2-marla-singer, ronaldo-cr7, bob-marley, ronaldo-1, messi, marilyn-monroe, tupac-2pac</t>
  </si>
  <si>
    <t xml:space="preserve">movies</t>
  </si>
  <si>
    <t xml:space="preserve">gid://shopify/Collection/276978991203</t>
  </si>
  <si>
    <t xml:space="preserve">venom, joker-dark-knight, black-panther-1, new-2, ironman, marilyn-monroe, boba-fatt, jocker</t>
  </si>
  <si>
    <t xml:space="preserve">Modern Art</t>
  </si>
  <si>
    <t xml:space="preserve">modern-culture</t>
  </si>
  <si>
    <t xml:space="preserve">gid://shopify/Collection/276979875939</t>
  </si>
  <si>
    <t xml:space="preserve">athena, abstract-faces-variant-2, roman-colloseum-painting-set, world-map-route, africans, abstract-calligraphy, abstract, creation-of-adam</t>
  </si>
  <si>
    <t xml:space="preserve">poster-art</t>
  </si>
  <si>
    <t xml:space="preserve">gid://shopify/Collection/277622194275</t>
  </si>
  <si>
    <t xml:space="preserve">electric-grace-neon-smoking-lady, rumi-whirling-dervishes-1, lady-stained-glass-style, paki-smoker-ladies-1, roman-colloseum-painting-set, rumi-whirling-dervishes, neon-noir-neon-smoking-lady, vector-diva-neon-smoking-lady</t>
  </si>
  <si>
    <t xml:space="preserve">Best Sellers</t>
  </si>
  <si>
    <t xml:space="preserve">best-seller</t>
  </si>
  <si>
    <t xml:space="preserve">gid://shopify/Collection/286312890467</t>
  </si>
  <si>
    <t xml:space="preserve">rumi-whirling-dervishes-1, lady-stained-glass-style, abstract-faces-variant-2, roman-colloseum-painting-set, africans, deter, bear-copy, grey-wolf-copy</t>
  </si>
  <si>
    <t xml:space="preserve">New Arrivals</t>
  </si>
  <si>
    <t xml:space="preserve">new-arrivals</t>
  </si>
  <si>
    <t xml:space="preserve">gid://shopify/Collection/286313185379</t>
  </si>
  <si>
    <t xml:space="preserve">lady-stained-glass-style, abstract-faces-variant-2, roman-colloseum-painting-set, ferrari-2, lighthouse-stained-glass-style, bear-copy, grey-wolf-copy, grey-wolf</t>
  </si>
  <si>
    <t xml:space="preserve">Islamic Art</t>
  </si>
  <si>
    <t xml:space="preserve">islamic</t>
  </si>
  <si>
    <t xml:space="preserve">gid://shopify/Collection/286313218147</t>
  </si>
  <si>
    <t xml:space="preserve">four-quls-tree, kaabah-painting-set, dome-of-the-rock-set, loh-e-qurani, bismillah-knotted-kufic, bismillah-square-kufic, bismillah-circular, ayat-ul-kursi-surah-nas-surah-falak-set</t>
  </si>
  <si>
    <t xml:space="preserve">gid://shopify/Collection/287068651619</t>
  </si>
  <si>
    <t xml:space="preserve">mk4-toyota, nissan, ferrari-2, audi-a8-copy, audi-a8, chevrolet-copy, ferrari-cutout-copy, ferrari-cutout</t>
  </si>
  <si>
    <t xml:space="preserve">Dragon Ball</t>
  </si>
  <si>
    <t xml:space="preserve">dragon-ball-z</t>
  </si>
  <si>
    <t xml:space="preserve">gid://shopify/Collection/287068749923</t>
  </si>
  <si>
    <t xml:space="preserve">dragon-ball-goku-1, goku-fan-art, goku-moon-background, goku-1, dragonball-super, goku</t>
  </si>
  <si>
    <t xml:space="preserve">Cultural Arts</t>
  </si>
  <si>
    <t xml:space="preserve">cultural-arts</t>
  </si>
  <si>
    <t xml:space="preserve">gid://shopify/Collection/287777783907</t>
  </si>
  <si>
    <t xml:space="preserve">rumi-whirling-dervishes-1, africans, rumi-whirling-dervishes, african-villagers-farming-set, african-art-geometric-abstract-set, yin-yang-dance-set, duality-abstract-african-art, brazilian-dancing-women-set</t>
  </si>
  <si>
    <t xml:space="preserve">Stained Glass Style</t>
  </si>
  <si>
    <t xml:space="preserve">stained-glass-style</t>
  </si>
  <si>
    <t xml:space="preserve">gid://shopify/Collection/288320651363</t>
  </si>
  <si>
    <t xml:space="preserve">lady-stained-glass-style, lighthouse-stained-glass-style, lady-variant-2-stained-glass-style, cat-stained-glass-style, yin-yang-stained-glass-style, piano-stained-glass-style, peacock-stained-glass-style, dragon-stained-glass-style</t>
  </si>
  <si>
    <t xml:space="preserve">Cultural Arts- 2D</t>
  </si>
  <si>
    <t xml:space="preserve">cultural-arts-2d</t>
  </si>
  <si>
    <t xml:space="preserve">gid://shopify/Collection/290175713379</t>
  </si>
  <si>
    <t xml:space="preserve">athena, africans, circle-of-life, hamsa, lily, indigenous-v-3, ethnic-ornaments, inner-tribal</t>
  </si>
  <si>
    <t xml:space="preserve">Cultural Arts- Digital</t>
  </si>
  <si>
    <t xml:space="preserve">cultural-arts-digital</t>
  </si>
  <si>
    <t xml:space="preserve">gid://shopify/Collection/290175844451</t>
  </si>
  <si>
    <t xml:space="preserve">rumi-whirling-dervishes-1, paki-smoker-ladies-1, roman-colloseum-painting-set, rumi-whirling-dervishes, yin-yang-stained-glass-style, african-villagers-farming-set, african-art-geometric-abstract-set, yin-yang-dance-set</t>
  </si>
  <si>
    <t xml:space="preserve">Anime/Manga- 2D</t>
  </si>
  <si>
    <t xml:space="preserve">anime-manga-2d-1</t>
  </si>
  <si>
    <t xml:space="preserve">gid://shopify/Collection/290175975523</t>
  </si>
  <si>
    <t xml:space="preserve">ninja, kaico, dragon-ball-goku-1, madara-reincarnated-face-portrait-cutout, madara-face-portrait-cutout, madara-uchiha-reincarnation, totoro-and-mei, symbiotic-energy-of-venom</t>
  </si>
  <si>
    <t xml:space="preserve">Anime/Manga- Digital Art</t>
  </si>
  <si>
    <t xml:space="preserve">anime</t>
  </si>
  <si>
    <t xml:space="preserve">gid://shopify/Collection/290176008291</t>
  </si>
  <si>
    <t xml:space="preserve">realistic-demon-slayer-rengoku, naruto-in-the-dark, jiraiya-the-sage, jiraiya-and-pain, itachi-black-on-red, obito-art-portrait, new-1, obitos-rage</t>
  </si>
  <si>
    <t xml:space="preserve">Comics/Superheroes/Movies- 2D</t>
  </si>
  <si>
    <t xml:space="preserve">comics-superheroes-2d</t>
  </si>
  <si>
    <t xml:space="preserve">gid://shopify/Collection/290176172131</t>
  </si>
  <si>
    <t xml:space="preserve">venom, boba-fatt, jocker, audrey-hepburn, spiderman, khaleesi, batman-dc-superhero, batman-and-joker</t>
  </si>
  <si>
    <t xml:space="preserve">Comics/Superheroes/Movies- Digital Art</t>
  </si>
  <si>
    <t xml:space="preserve">comics-superheroes-movies-digital-ae</t>
  </si>
  <si>
    <t xml:space="preserve">gid://shopify/Collection/290176237667</t>
  </si>
  <si>
    <t xml:space="preserve">joker-dark-knight, black-panther-1, new-2, ironman, joker-black-and-white, joker-disobey, neon-groot, spiderman-1</t>
  </si>
  <si>
    <t xml:space="preserve">Islamic Art- 2D</t>
  </si>
  <si>
    <t xml:space="preserve">islamic-art-2d</t>
  </si>
  <si>
    <t xml:space="preserve">gid://shopify/Collection/290176696419</t>
  </si>
  <si>
    <t xml:space="preserve">four-quls-tree, bismillah-knotted-kufic, bismillah-square-kufic, bismillah-circular, ayat-ul-kursi-surah-nas-surah-falak-set, muhammad-12, muhammad-10, muhammad-9</t>
  </si>
  <si>
    <t xml:space="preserve">islamic-art-digital-art</t>
  </si>
  <si>
    <t xml:space="preserve">gid://shopify/Collection/290176729187</t>
  </si>
  <si>
    <t xml:space="preserve">allah-and-muhammad-nastaliq-set-grey-painting-background, allah-and-muhammad-nastaliq-set-black-and-white-painting-background, allah-and-muhammad-nastaliq-set-turquoise-painting-background, allah-and-muhammad-nastaliq-set-blue-and-orange-painting-background, allah-and-muhammad-nastaliq-set-black-background, allah-and-muhammad-nastaliq-set-white-background, allah-and-muhammad-kufic-set-grey-painting-background, allah-and-muhammad-kufic-set-black-and-white-painting-background</t>
  </si>
  <si>
    <t xml:space="preserve">gid://shopify/Collection/290207694947</t>
  </si>
  <si>
    <t xml:space="preserve">ronaldo, ronaldo-cr7, ronaldo-1, ronaldo-calm-down, ronaldo-celebration</t>
  </si>
  <si>
    <t xml:space="preserve">Naruto</t>
  </si>
  <si>
    <t xml:space="preserve">gid://shopify/Collection/290272870499</t>
  </si>
  <si>
    <t xml:space="preserve">realistic-demon-slayer-rengoku, naruto-in-the-dark, jiraiya-the-sage, jiraiya-and-pain, itachi-black-on-red, obito-art-portrait, madara-reincarnated-face-portrait-cutout, madara-face-portrait-cutout</t>
  </si>
  <si>
    <t xml:space="preserve">smoking-lady</t>
  </si>
  <si>
    <t xml:space="preserve">gid://shopify/Collection/291851993187</t>
  </si>
  <si>
    <t xml:space="preserve">electric-grace-neon-smoking-lady, paki-smoker-ladies-1, neon-noir-neon-smoking-lady, vector-diva-neon-smoking-lady, scarlet-haze-neon-smoking-lady, shaan-smoking-lady, afsana-smoking-lady, electric-smoke-neon-smoking-lady</t>
  </si>
  <si>
    <t xml:space="preserve">3d-prints</t>
  </si>
  <si>
    <t xml:space="preserve">gid://shopify/Collection/292880810083</t>
  </si>
  <si>
    <t xml:space="preserve">shaded-lamp, silent-tree-christmas-ornament, crystal-deer, glow-petal-copy, glow-petal, obsidian-glow, obsidian-fold, obsidian-crest</t>
  </si>
  <si>
    <t xml:space="preserve">gid://shopify/Collection/293701386339</t>
  </si>
  <si>
    <t xml:space="preserve">bear-copy, grey-wolf-copy, grey-wolf, mandala, eclipse-mandala, flowline, molten-waves, molten-flow</t>
  </si>
  <si>
    <t xml:space="preserve">Lamps</t>
  </si>
  <si>
    <t xml:space="preserve">lamps</t>
  </si>
  <si>
    <t xml:space="preserve">gid://shopify/Collection/293701484643</t>
  </si>
  <si>
    <t xml:space="preserve">shaded-lamp, glow-petal-copy, glow-petal, obsidian-glow, obsidian-fold, obsidian-crest, obsidian-bloom, prism-lamp</t>
  </si>
  <si>
    <t xml:space="preserve">Accessories</t>
  </si>
  <si>
    <t xml:space="preserve">accessories</t>
  </si>
  <si>
    <t xml:space="preserve">gid://shopify/Collection/293701615715</t>
  </si>
  <si>
    <t xml:space="preserve">silent-tree-christmas-ornament, crystal-deer</t>
  </si>
  <si>
    <t xml:space="preserve">Warrior Ladies</t>
  </si>
  <si>
    <t xml:space="preserve">warrior-ladies</t>
  </si>
  <si>
    <t xml:space="preserve">gid://shopify/Collection/293860474979</t>
  </si>
  <si>
    <t xml:space="preserve">kaira-red-smoke-resolve, 19, viora-silent-watch, elyx-electric-stance, sable-midnight-guard, thyra-after-dark-combat, iria-shadow-step, nyra-emerald-oath</t>
  </si>
  <si>
    <t xml:space="preserve">Apparel</t>
  </si>
  <si>
    <t xml:space="preserve">apparel</t>
  </si>
  <si>
    <t xml:space="preserve">gid://shopify/Collection/295595901027</t>
  </si>
  <si>
    <t xml:space="preserve">sakht-launda, pindi-boy-1, missile-pop-art, girl-pop-art, car-pop-art, pindi-boy-2, medusa, godfather-skeleton</t>
  </si>
  <si>
    <t xml:space="preserve">T-Shirts- Abstract</t>
  </si>
  <si>
    <t xml:space="preserve">t-shirts-abstract</t>
  </si>
  <si>
    <t xml:space="preserve">gid://shopify/Collection/295596195939</t>
  </si>
  <si>
    <t xml:space="preserve">abstract-12, abstract-11, abstract-9, abstract-8, abstract-7, abstract-6, abstract-5, abstract-4</t>
  </si>
  <si>
    <t xml:space="preserve">T-Shirts- Contrast Whisper</t>
  </si>
  <si>
    <t xml:space="preserve">contract-whisper</t>
  </si>
  <si>
    <t xml:space="preserve">gid://shopify/Collection/295597342819</t>
  </si>
  <si>
    <t xml:space="preserve">peace-doodle, foodie-bear-copy, foodie-bear, doodles-3, doodles-2, doodles-1, cat-doodle, astronaut-doodle-2</t>
  </si>
  <si>
    <t xml:space="preserve">T-Shirts- Doodle Art</t>
  </si>
  <si>
    <t xml:space="preserve">t-shirts-doodle-art</t>
  </si>
  <si>
    <t xml:space="preserve">gid://shopify/Collection/295597604963</t>
  </si>
  <si>
    <t xml:space="preserve">T-Shirts- Pop Art</t>
  </si>
  <si>
    <t xml:space="preserve">t-shirts-pop-art</t>
  </si>
  <si>
    <t xml:space="preserve">gid://shopify/Collection/295597768803</t>
  </si>
  <si>
    <t xml:space="preserve">3D-website products with NO live Shopify product (need creating in Shopify or intentional local-only)</t>
  </si>
  <si>
    <t xml:space="preserve">Category</t>
  </si>
  <si>
    <t xml:space="preserve">Live Shopify products NOT in the 3D website: 340 (full list on 'Shopify Live Products' sheet, filter 'In 3D Website' = FALSE — mostly Apparel/T-Shirts, Islamic Art frames, and set paintings)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</si>
</sst>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917"/>
        <bgColor rgb="FF000000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19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COUNTA('Shopify Live Products'!B2:B100000)</f>
        <v>506</v>
      </c>
    </row>
    <row r="5" customFormat="false" ht="15" hidden="false" customHeight="false" outlineLevel="0" collapsed="false">
      <c r="A5" s="3" t="s">
        <v>3</v>
      </c>
      <c r="B5" s="4" t="n">
        <f aca="false">COUNTIF('Shopify Live Products'!D2:D100000,"ACTIVE")</f>
        <v>503</v>
      </c>
    </row>
    <row r="6" customFormat="false" ht="15" hidden="false" customHeight="false" outlineLevel="0" collapsed="false">
      <c r="A6" s="3" t="s">
        <v>4</v>
      </c>
      <c r="B6" s="4" t="n">
        <f aca="false">COUNTIF('Shopify Live Products'!D2:D100000,"DRAFT")</f>
        <v>3</v>
      </c>
    </row>
    <row r="7" customFormat="false" ht="15" hidden="false" customHeight="false" outlineLevel="0" collapsed="false">
      <c r="A7" s="3" t="s">
        <v>5</v>
      </c>
      <c r="B7" s="4" t="n">
        <v>38</v>
      </c>
    </row>
    <row r="8" customFormat="false" ht="15" hidden="false" customHeight="false" outlineLevel="0" collapsed="false">
      <c r="A8" s="3" t="s">
        <v>6</v>
      </c>
      <c r="B8" s="4" t="n">
        <f aca="false">COUNTA('3D Website Products'!A2:A100000)</f>
        <v>198</v>
      </c>
    </row>
    <row r="9" customFormat="false" ht="15" hidden="false" customHeight="false" outlineLevel="0" collapsed="false">
      <c r="A9" s="3" t="s">
        <v>7</v>
      </c>
      <c r="B9" s="4" t="n">
        <f aca="false">COUNTIF('3D Website Products'!G2:G100000,TRUE())</f>
        <v>173</v>
      </c>
    </row>
    <row r="10" customFormat="false" ht="15" hidden="false" customHeight="false" outlineLevel="0" collapsed="false">
      <c r="A10" s="3" t="s">
        <v>8</v>
      </c>
      <c r="B10" s="4" t="n">
        <f aca="false">COUNTIF('3D Website Products'!G2:G100000,FALSE())</f>
        <v>25</v>
      </c>
    </row>
    <row r="11" customFormat="false" ht="15" hidden="false" customHeight="false" outlineLevel="0" collapsed="false">
      <c r="A11" s="3" t="s">
        <v>9</v>
      </c>
      <c r="B11" s="4" t="n">
        <f aca="false">COUNTIF('Shopify Live Products'!S2:S100000,TRUE())</f>
        <v>166</v>
      </c>
    </row>
    <row r="12" customFormat="false" ht="15" hidden="false" customHeight="false" outlineLevel="0" collapsed="false">
      <c r="A12" s="3" t="s">
        <v>10</v>
      </c>
      <c r="B12" s="4" t="n">
        <f aca="false">COUNTIF('Shopify Live Products'!S2:S100000,FALSE())</f>
        <v>340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46"/>
    <col collapsed="false" customWidth="true" hidden="false" outlineLevel="0" max="14" min="14" style="0" width="36"/>
    <col collapsed="false" customWidth="true" hidden="false" outlineLevel="0" max="15" min="15" style="0" width="10"/>
    <col collapsed="false" customWidth="true" hidden="false" outlineLevel="0" max="16" min="16" style="0" width="40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0" min="20" style="0" width="26"/>
    <col collapsed="false" customWidth="true" hidden="false" outlineLevel="0" max="21" min="21" style="0" width="13"/>
    <col collapsed="false" customWidth="true" hidden="false" outlineLevel="0" max="22" min="22" style="0" width="40"/>
    <col collapsed="false" customWidth="true" hidden="false" outlineLevel="0" max="23" min="23" style="0" width="14"/>
  </cols>
  <sheetData>
    <row r="1" customFormat="false" ht="21.7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/>
      <c r="G2" s="6" t="s">
        <v>41</v>
      </c>
      <c r="H2" s="6" t="s">
        <v>42</v>
      </c>
      <c r="I2" s="7" t="n">
        <v>3500</v>
      </c>
      <c r="J2" s="7" t="n">
        <v>5600</v>
      </c>
      <c r="K2" s="6" t="n">
        <v>0</v>
      </c>
      <c r="L2" s="6" t="n">
        <v>4</v>
      </c>
      <c r="M2" s="6" t="s">
        <v>43</v>
      </c>
      <c r="N2" s="6" t="s">
        <v>44</v>
      </c>
      <c r="O2" s="8" t="b">
        <f aca="false">TRUE()</f>
        <v>1</v>
      </c>
      <c r="P2" s="6" t="s">
        <v>45</v>
      </c>
      <c r="Q2" s="6" t="s">
        <v>46</v>
      </c>
      <c r="R2" s="6" t="s">
        <v>46</v>
      </c>
      <c r="S2" s="9" t="b">
        <f aca="false">FALSE()</f>
        <v>0</v>
      </c>
      <c r="T2" s="6"/>
      <c r="U2" s="6"/>
      <c r="V2" s="6"/>
      <c r="W2" s="6"/>
    </row>
    <row r="3" customFormat="false" ht="15" hidden="false" customHeight="false" outlineLevel="0" collapsed="false">
      <c r="A3" s="6" t="s">
        <v>47</v>
      </c>
      <c r="B3" s="6" t="s">
        <v>48</v>
      </c>
      <c r="C3" s="6" t="s">
        <v>49</v>
      </c>
      <c r="D3" s="6" t="s">
        <v>39</v>
      </c>
      <c r="E3" s="6" t="s">
        <v>40</v>
      </c>
      <c r="F3" s="6"/>
      <c r="G3" s="6" t="s">
        <v>41</v>
      </c>
      <c r="H3" s="6" t="s">
        <v>50</v>
      </c>
      <c r="I3" s="7" t="n">
        <v>3500</v>
      </c>
      <c r="J3" s="7" t="n">
        <v>5600</v>
      </c>
      <c r="K3" s="6" t="n">
        <v>0</v>
      </c>
      <c r="L3" s="6" t="n">
        <v>4</v>
      </c>
      <c r="M3" s="6" t="s">
        <v>51</v>
      </c>
      <c r="N3" s="6" t="s">
        <v>52</v>
      </c>
      <c r="O3" s="8" t="b">
        <f aca="false">TRUE()</f>
        <v>1</v>
      </c>
      <c r="P3" s="6" t="s">
        <v>53</v>
      </c>
      <c r="Q3" s="6" t="s">
        <v>46</v>
      </c>
      <c r="R3" s="6" t="s">
        <v>46</v>
      </c>
      <c r="S3" s="9" t="b">
        <f aca="false">FALSE()</f>
        <v>0</v>
      </c>
      <c r="T3" s="6"/>
      <c r="U3" s="6"/>
      <c r="V3" s="6"/>
      <c r="W3" s="6"/>
    </row>
    <row r="4" customFormat="false" ht="15" hidden="false" customHeight="false" outlineLevel="0" collapsed="false">
      <c r="A4" s="6" t="s">
        <v>54</v>
      </c>
      <c r="B4" s="6" t="s">
        <v>55</v>
      </c>
      <c r="C4" s="6" t="s">
        <v>56</v>
      </c>
      <c r="D4" s="6" t="s">
        <v>39</v>
      </c>
      <c r="E4" s="6" t="s">
        <v>40</v>
      </c>
      <c r="F4" s="6"/>
      <c r="G4" s="6" t="s">
        <v>41</v>
      </c>
      <c r="H4" s="6" t="s">
        <v>57</v>
      </c>
      <c r="I4" s="7" t="n">
        <v>3500</v>
      </c>
      <c r="J4" s="7" t="n">
        <v>5600</v>
      </c>
      <c r="K4" s="6" t="n">
        <v>0</v>
      </c>
      <c r="L4" s="6" t="n">
        <v>4</v>
      </c>
      <c r="M4" s="6" t="s">
        <v>51</v>
      </c>
      <c r="N4" s="6" t="s">
        <v>58</v>
      </c>
      <c r="O4" s="8" t="b">
        <f aca="false">TRUE()</f>
        <v>1</v>
      </c>
      <c r="P4" s="6" t="s">
        <v>59</v>
      </c>
      <c r="Q4" s="6" t="s">
        <v>46</v>
      </c>
      <c r="R4" s="6" t="s">
        <v>46</v>
      </c>
      <c r="S4" s="9" t="b">
        <f aca="false">FALSE()</f>
        <v>0</v>
      </c>
      <c r="T4" s="6"/>
      <c r="U4" s="6"/>
      <c r="V4" s="6"/>
      <c r="W4" s="6"/>
    </row>
    <row r="5" customFormat="false" ht="15" hidden="false" customHeight="false" outlineLevel="0" collapsed="false">
      <c r="A5" s="6" t="s">
        <v>60</v>
      </c>
      <c r="B5" s="6" t="s">
        <v>61</v>
      </c>
      <c r="C5" s="6" t="s">
        <v>62</v>
      </c>
      <c r="D5" s="6" t="s">
        <v>39</v>
      </c>
      <c r="E5" s="6" t="s">
        <v>40</v>
      </c>
      <c r="F5" s="6"/>
      <c r="G5" s="6" t="s">
        <v>41</v>
      </c>
      <c r="H5" s="6" t="s">
        <v>63</v>
      </c>
      <c r="I5" s="7" t="n">
        <v>3500</v>
      </c>
      <c r="J5" s="7" t="n">
        <v>5600</v>
      </c>
      <c r="K5" s="6" t="n">
        <v>0</v>
      </c>
      <c r="L5" s="6" t="n">
        <v>4</v>
      </c>
      <c r="M5" s="6" t="s">
        <v>51</v>
      </c>
      <c r="N5" s="6" t="s">
        <v>64</v>
      </c>
      <c r="O5" s="8" t="b">
        <f aca="false">TRUE()</f>
        <v>1</v>
      </c>
      <c r="P5" s="6" t="s">
        <v>65</v>
      </c>
      <c r="Q5" s="6" t="s">
        <v>46</v>
      </c>
      <c r="R5" s="6" t="s">
        <v>46</v>
      </c>
      <c r="S5" s="9" t="b">
        <f aca="false">FALSE()</f>
        <v>0</v>
      </c>
      <c r="T5" s="6"/>
      <c r="U5" s="6"/>
      <c r="V5" s="6"/>
      <c r="W5" s="6"/>
    </row>
    <row r="6" customFormat="false" ht="15" hidden="false" customHeight="false" outlineLevel="0" collapsed="false">
      <c r="A6" s="6" t="s">
        <v>66</v>
      </c>
      <c r="B6" s="6" t="s">
        <v>67</v>
      </c>
      <c r="C6" s="6" t="s">
        <v>68</v>
      </c>
      <c r="D6" s="6" t="s">
        <v>39</v>
      </c>
      <c r="E6" s="6" t="s">
        <v>40</v>
      </c>
      <c r="F6" s="6"/>
      <c r="G6" s="6" t="s">
        <v>41</v>
      </c>
      <c r="H6" s="6" t="s">
        <v>69</v>
      </c>
      <c r="I6" s="7" t="n">
        <v>3500</v>
      </c>
      <c r="J6" s="7" t="n">
        <v>5600</v>
      </c>
      <c r="K6" s="6" t="n">
        <v>0</v>
      </c>
      <c r="L6" s="6" t="n">
        <v>4</v>
      </c>
      <c r="M6" s="6" t="s">
        <v>51</v>
      </c>
      <c r="N6" s="6" t="s">
        <v>70</v>
      </c>
      <c r="O6" s="8" t="b">
        <f aca="false">TRUE()</f>
        <v>1</v>
      </c>
      <c r="P6" s="6" t="s">
        <v>71</v>
      </c>
      <c r="Q6" s="6" t="s">
        <v>46</v>
      </c>
      <c r="R6" s="6" t="s">
        <v>46</v>
      </c>
      <c r="S6" s="10" t="b">
        <f aca="false">TRUE()</f>
        <v>1</v>
      </c>
      <c r="T6" s="6" t="s">
        <v>72</v>
      </c>
      <c r="U6" s="6" t="s">
        <v>73</v>
      </c>
      <c r="V6" s="6" t="s">
        <v>74</v>
      </c>
      <c r="W6" s="6" t="s">
        <v>75</v>
      </c>
    </row>
    <row r="7" customFormat="false" ht="15" hidden="false" customHeight="false" outlineLevel="0" collapsed="false">
      <c r="A7" s="6" t="s">
        <v>76</v>
      </c>
      <c r="B7" s="6" t="s">
        <v>77</v>
      </c>
      <c r="C7" s="6" t="s">
        <v>78</v>
      </c>
      <c r="D7" s="6" t="s">
        <v>39</v>
      </c>
      <c r="E7" s="6" t="s">
        <v>40</v>
      </c>
      <c r="F7" s="6"/>
      <c r="G7" s="6" t="s">
        <v>41</v>
      </c>
      <c r="H7" s="6" t="s">
        <v>79</v>
      </c>
      <c r="I7" s="7" t="n">
        <v>3500</v>
      </c>
      <c r="J7" s="7" t="n">
        <v>5600</v>
      </c>
      <c r="K7" s="6" t="n">
        <v>0</v>
      </c>
      <c r="L7" s="6" t="n">
        <v>4</v>
      </c>
      <c r="M7" s="6" t="s">
        <v>80</v>
      </c>
      <c r="N7" s="6" t="s">
        <v>81</v>
      </c>
      <c r="O7" s="8" t="b">
        <f aca="false">TRUE()</f>
        <v>1</v>
      </c>
      <c r="P7" s="6" t="s">
        <v>82</v>
      </c>
      <c r="Q7" s="6" t="s">
        <v>46</v>
      </c>
      <c r="R7" s="6" t="s">
        <v>46</v>
      </c>
      <c r="S7" s="9" t="b">
        <f aca="false">FALSE()</f>
        <v>0</v>
      </c>
      <c r="T7" s="6"/>
      <c r="U7" s="6"/>
      <c r="V7" s="6"/>
      <c r="W7" s="6"/>
    </row>
    <row r="8" customFormat="false" ht="15" hidden="false" customHeight="false" outlineLevel="0" collapsed="false">
      <c r="A8" s="6" t="s">
        <v>83</v>
      </c>
      <c r="B8" s="6" t="s">
        <v>84</v>
      </c>
      <c r="C8" s="6" t="s">
        <v>85</v>
      </c>
      <c r="D8" s="6" t="s">
        <v>39</v>
      </c>
      <c r="E8" s="6" t="s">
        <v>40</v>
      </c>
      <c r="F8" s="6"/>
      <c r="G8" s="6" t="s">
        <v>41</v>
      </c>
      <c r="H8" s="6" t="s">
        <v>86</v>
      </c>
      <c r="I8" s="7" t="n">
        <v>3500</v>
      </c>
      <c r="J8" s="7" t="n">
        <v>5600</v>
      </c>
      <c r="K8" s="6" t="n">
        <v>0</v>
      </c>
      <c r="L8" s="6" t="n">
        <v>4</v>
      </c>
      <c r="M8" s="6" t="s">
        <v>87</v>
      </c>
      <c r="N8" s="6" t="s">
        <v>88</v>
      </c>
      <c r="O8" s="8" t="b">
        <f aca="false">TRUE()</f>
        <v>1</v>
      </c>
      <c r="P8" s="6" t="s">
        <v>89</v>
      </c>
      <c r="Q8" s="6" t="s">
        <v>46</v>
      </c>
      <c r="R8" s="6" t="s">
        <v>46</v>
      </c>
      <c r="S8" s="10" t="b">
        <f aca="false">TRUE()</f>
        <v>1</v>
      </c>
      <c r="T8" s="6" t="s">
        <v>90</v>
      </c>
      <c r="U8" s="6" t="s">
        <v>73</v>
      </c>
      <c r="V8" s="6" t="s">
        <v>91</v>
      </c>
      <c r="W8" s="6" t="s">
        <v>92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s">
        <v>95</v>
      </c>
      <c r="D9" s="6" t="s">
        <v>39</v>
      </c>
      <c r="E9" s="6" t="s">
        <v>40</v>
      </c>
      <c r="F9" s="6"/>
      <c r="G9" s="6" t="s">
        <v>41</v>
      </c>
      <c r="H9" s="6" t="s">
        <v>96</v>
      </c>
      <c r="I9" s="7" t="n">
        <v>3500</v>
      </c>
      <c r="J9" s="7" t="n">
        <v>5600</v>
      </c>
      <c r="K9" s="6" t="n">
        <v>0</v>
      </c>
      <c r="L9" s="6" t="n">
        <v>4</v>
      </c>
      <c r="M9" s="6" t="s">
        <v>97</v>
      </c>
      <c r="N9" s="6" t="s">
        <v>98</v>
      </c>
      <c r="O9" s="8" t="b">
        <f aca="false">TRUE()</f>
        <v>1</v>
      </c>
      <c r="P9" s="6" t="s">
        <v>99</v>
      </c>
      <c r="Q9" s="6" t="s">
        <v>46</v>
      </c>
      <c r="R9" s="6" t="s">
        <v>46</v>
      </c>
      <c r="S9" s="9" t="b">
        <f aca="false">FALSE()</f>
        <v>0</v>
      </c>
      <c r="T9" s="6"/>
      <c r="U9" s="6"/>
      <c r="V9" s="6"/>
      <c r="W9" s="6"/>
    </row>
    <row r="10" customFormat="false" ht="15" hidden="false" customHeight="false" outlineLevel="0" collapsed="false">
      <c r="A10" s="6" t="s">
        <v>100</v>
      </c>
      <c r="B10" s="6" t="s">
        <v>101</v>
      </c>
      <c r="C10" s="6" t="s">
        <v>102</v>
      </c>
      <c r="D10" s="6" t="s">
        <v>39</v>
      </c>
      <c r="E10" s="6" t="s">
        <v>40</v>
      </c>
      <c r="F10" s="6"/>
      <c r="G10" s="6"/>
      <c r="H10" s="6" t="s">
        <v>103</v>
      </c>
      <c r="I10" s="7" t="n">
        <v>2499</v>
      </c>
      <c r="J10" s="7" t="n">
        <v>2499</v>
      </c>
      <c r="K10" s="6" t="n">
        <v>0</v>
      </c>
      <c r="L10" s="6" t="n">
        <v>1</v>
      </c>
      <c r="M10" s="6" t="s">
        <v>104</v>
      </c>
      <c r="N10" s="6" t="s">
        <v>105</v>
      </c>
      <c r="O10" s="8" t="b">
        <f aca="false">TRUE()</f>
        <v>1</v>
      </c>
      <c r="P10" s="6" t="s">
        <v>106</v>
      </c>
      <c r="Q10" s="6" t="s">
        <v>46</v>
      </c>
      <c r="R10" s="6" t="s">
        <v>46</v>
      </c>
      <c r="S10" s="10" t="b">
        <f aca="false">TRUE()</f>
        <v>1</v>
      </c>
      <c r="T10" s="6" t="s">
        <v>107</v>
      </c>
      <c r="U10" s="6" t="s">
        <v>108</v>
      </c>
      <c r="V10" s="6" t="s">
        <v>109</v>
      </c>
      <c r="W10" s="6" t="s">
        <v>92</v>
      </c>
    </row>
    <row r="11" customFormat="false" ht="15" hidden="false" customHeight="false" outlineLevel="0" collapsed="false">
      <c r="A11" s="6" t="s">
        <v>110</v>
      </c>
      <c r="B11" s="6" t="s">
        <v>111</v>
      </c>
      <c r="C11" s="6" t="s">
        <v>112</v>
      </c>
      <c r="D11" s="6" t="s">
        <v>39</v>
      </c>
      <c r="E11" s="6" t="s">
        <v>40</v>
      </c>
      <c r="F11" s="6"/>
      <c r="G11" s="6"/>
      <c r="H11" s="6" t="s">
        <v>113</v>
      </c>
      <c r="I11" s="7" t="n">
        <v>1999</v>
      </c>
      <c r="J11" s="7" t="n">
        <v>3999</v>
      </c>
      <c r="K11" s="6" t="n">
        <v>0</v>
      </c>
      <c r="L11" s="6" t="n">
        <v>3</v>
      </c>
      <c r="M11" s="6" t="s">
        <v>114</v>
      </c>
      <c r="N11" s="6" t="s">
        <v>115</v>
      </c>
      <c r="O11" s="8" t="b">
        <f aca="false">TRUE()</f>
        <v>1</v>
      </c>
      <c r="P11" s="6" t="s">
        <v>116</v>
      </c>
      <c r="Q11" s="6" t="s">
        <v>46</v>
      </c>
      <c r="R11" s="6" t="s">
        <v>46</v>
      </c>
      <c r="S11" s="10" t="b">
        <f aca="false">TRUE()</f>
        <v>1</v>
      </c>
      <c r="T11" s="6" t="s">
        <v>117</v>
      </c>
      <c r="U11" s="6" t="s">
        <v>108</v>
      </c>
      <c r="V11" s="6" t="s">
        <v>118</v>
      </c>
      <c r="W11" s="6" t="s">
        <v>92</v>
      </c>
    </row>
    <row r="12" customFormat="false" ht="15" hidden="false" customHeight="false" outlineLevel="0" collapsed="false">
      <c r="A12" s="6" t="s">
        <v>119</v>
      </c>
      <c r="B12" s="6" t="s">
        <v>120</v>
      </c>
      <c r="C12" s="6" t="s">
        <v>121</v>
      </c>
      <c r="D12" s="6" t="s">
        <v>39</v>
      </c>
      <c r="E12" s="6" t="s">
        <v>40</v>
      </c>
      <c r="F12" s="6"/>
      <c r="G12" s="6"/>
      <c r="H12" s="6" t="s">
        <v>113</v>
      </c>
      <c r="I12" s="7" t="n">
        <v>2499</v>
      </c>
      <c r="J12" s="7" t="n">
        <v>3499</v>
      </c>
      <c r="K12" s="6" t="n">
        <v>0</v>
      </c>
      <c r="L12" s="6" t="n">
        <v>2</v>
      </c>
      <c r="M12" s="6" t="s">
        <v>122</v>
      </c>
      <c r="N12" s="6" t="s">
        <v>123</v>
      </c>
      <c r="O12" s="8" t="b">
        <f aca="false">TRUE()</f>
        <v>1</v>
      </c>
      <c r="P12" s="6" t="s">
        <v>124</v>
      </c>
      <c r="Q12" s="6" t="s">
        <v>46</v>
      </c>
      <c r="R12" s="6" t="s">
        <v>46</v>
      </c>
      <c r="S12" s="10" t="b">
        <f aca="false">TRUE()</f>
        <v>1</v>
      </c>
      <c r="T12" s="6" t="s">
        <v>125</v>
      </c>
      <c r="U12" s="6" t="s">
        <v>108</v>
      </c>
      <c r="V12" s="6" t="s">
        <v>126</v>
      </c>
      <c r="W12" s="6" t="s">
        <v>92</v>
      </c>
    </row>
    <row r="13" customFormat="false" ht="15" hidden="false" customHeight="false" outlineLevel="0" collapsed="false">
      <c r="A13" s="6" t="s">
        <v>127</v>
      </c>
      <c r="B13" s="6" t="s">
        <v>128</v>
      </c>
      <c r="C13" s="6" t="s">
        <v>129</v>
      </c>
      <c r="D13" s="6" t="s">
        <v>39</v>
      </c>
      <c r="E13" s="6" t="s">
        <v>40</v>
      </c>
      <c r="F13" s="6"/>
      <c r="G13" s="6"/>
      <c r="H13" s="6" t="s">
        <v>113</v>
      </c>
      <c r="I13" s="7" t="n">
        <v>1999</v>
      </c>
      <c r="J13" s="7" t="n">
        <v>3999</v>
      </c>
      <c r="K13" s="6" t="n">
        <v>0</v>
      </c>
      <c r="L13" s="6" t="n">
        <v>3</v>
      </c>
      <c r="M13" s="6" t="s">
        <v>130</v>
      </c>
      <c r="N13" s="6" t="s">
        <v>131</v>
      </c>
      <c r="O13" s="8" t="b">
        <f aca="false">TRUE()</f>
        <v>1</v>
      </c>
      <c r="P13" s="6" t="s">
        <v>132</v>
      </c>
      <c r="Q13" s="6" t="s">
        <v>46</v>
      </c>
      <c r="R13" s="6" t="s">
        <v>46</v>
      </c>
      <c r="S13" s="10" t="b">
        <f aca="false">TRUE()</f>
        <v>1</v>
      </c>
      <c r="T13" s="6" t="s">
        <v>133</v>
      </c>
      <c r="U13" s="6" t="s">
        <v>108</v>
      </c>
      <c r="V13" s="6" t="s">
        <v>134</v>
      </c>
      <c r="W13" s="6" t="s">
        <v>92</v>
      </c>
    </row>
    <row r="14" customFormat="false" ht="15" hidden="false" customHeight="false" outlineLevel="0" collapsed="false">
      <c r="A14" s="6" t="s">
        <v>135</v>
      </c>
      <c r="B14" s="6" t="s">
        <v>136</v>
      </c>
      <c r="C14" s="6" t="s">
        <v>137</v>
      </c>
      <c r="D14" s="6" t="s">
        <v>39</v>
      </c>
      <c r="E14" s="6" t="s">
        <v>40</v>
      </c>
      <c r="F14" s="6"/>
      <c r="G14" s="6"/>
      <c r="H14" s="6" t="s">
        <v>138</v>
      </c>
      <c r="I14" s="7" t="n">
        <v>1999</v>
      </c>
      <c r="J14" s="7" t="n">
        <v>2499</v>
      </c>
      <c r="K14" s="6" t="n">
        <v>0</v>
      </c>
      <c r="L14" s="6" t="n">
        <v>2</v>
      </c>
      <c r="M14" s="6" t="s">
        <v>139</v>
      </c>
      <c r="N14" s="6" t="s">
        <v>140</v>
      </c>
      <c r="O14" s="8" t="b">
        <f aca="false">TRUE()</f>
        <v>1</v>
      </c>
      <c r="P14" s="6" t="s">
        <v>141</v>
      </c>
      <c r="Q14" s="6" t="s">
        <v>46</v>
      </c>
      <c r="R14" s="6" t="s">
        <v>46</v>
      </c>
      <c r="S14" s="10" t="b">
        <f aca="false">TRUE()</f>
        <v>1</v>
      </c>
      <c r="T14" s="6" t="s">
        <v>142</v>
      </c>
      <c r="U14" s="6" t="s">
        <v>108</v>
      </c>
      <c r="V14" s="6" t="s">
        <v>143</v>
      </c>
      <c r="W14" s="6" t="s">
        <v>92</v>
      </c>
    </row>
    <row r="15" customFormat="false" ht="15" hidden="false" customHeight="false" outlineLevel="0" collapsed="false">
      <c r="A15" s="6" t="s">
        <v>144</v>
      </c>
      <c r="B15" s="6" t="s">
        <v>145</v>
      </c>
      <c r="C15" s="6" t="s">
        <v>146</v>
      </c>
      <c r="D15" s="6" t="s">
        <v>39</v>
      </c>
      <c r="E15" s="6" t="s">
        <v>40</v>
      </c>
      <c r="F15" s="6"/>
      <c r="G15" s="6"/>
      <c r="H15" s="6" t="s">
        <v>147</v>
      </c>
      <c r="I15" s="7" t="n">
        <v>1999</v>
      </c>
      <c r="J15" s="7" t="n">
        <v>3999</v>
      </c>
      <c r="K15" s="6" t="n">
        <v>0</v>
      </c>
      <c r="L15" s="6" t="n">
        <v>3</v>
      </c>
      <c r="M15" s="6" t="s">
        <v>148</v>
      </c>
      <c r="N15" s="6" t="s">
        <v>149</v>
      </c>
      <c r="O15" s="8" t="b">
        <f aca="false">TRUE()</f>
        <v>1</v>
      </c>
      <c r="P15" s="6" t="s">
        <v>150</v>
      </c>
      <c r="Q15" s="6" t="s">
        <v>46</v>
      </c>
      <c r="R15" s="6" t="s">
        <v>46</v>
      </c>
      <c r="S15" s="10" t="b">
        <f aca="false">TRUE()</f>
        <v>1</v>
      </c>
      <c r="T15" s="6" t="s">
        <v>151</v>
      </c>
      <c r="U15" s="6" t="s">
        <v>108</v>
      </c>
      <c r="V15" s="6" t="s">
        <v>152</v>
      </c>
      <c r="W15" s="6" t="s">
        <v>92</v>
      </c>
    </row>
    <row r="16" customFormat="false" ht="15" hidden="false" customHeight="false" outlineLevel="0" collapsed="false">
      <c r="A16" s="6" t="s">
        <v>153</v>
      </c>
      <c r="B16" s="6" t="s">
        <v>154</v>
      </c>
      <c r="C16" s="6" t="s">
        <v>155</v>
      </c>
      <c r="D16" s="6" t="s">
        <v>39</v>
      </c>
      <c r="E16" s="6" t="s">
        <v>40</v>
      </c>
      <c r="F16" s="6"/>
      <c r="G16" s="6"/>
      <c r="H16" s="6" t="s">
        <v>156</v>
      </c>
      <c r="I16" s="7" t="n">
        <v>5000</v>
      </c>
      <c r="J16" s="7" t="n">
        <v>5600</v>
      </c>
      <c r="K16" s="6" t="n">
        <v>0</v>
      </c>
      <c r="L16" s="6" t="n">
        <v>2</v>
      </c>
      <c r="M16" s="6" t="s">
        <v>157</v>
      </c>
      <c r="N16" s="6" t="s">
        <v>158</v>
      </c>
      <c r="O16" s="8" t="b">
        <f aca="false">TRUE()</f>
        <v>1</v>
      </c>
      <c r="P16" s="6" t="s">
        <v>159</v>
      </c>
      <c r="Q16" s="6" t="s">
        <v>46</v>
      </c>
      <c r="R16" s="6" t="s">
        <v>46</v>
      </c>
      <c r="S16" s="10" t="b">
        <f aca="false">TRUE()</f>
        <v>1</v>
      </c>
      <c r="T16" s="6" t="s">
        <v>160</v>
      </c>
      <c r="U16" s="6" t="s">
        <v>108</v>
      </c>
      <c r="V16" s="6" t="s">
        <v>161</v>
      </c>
      <c r="W16" s="6" t="s">
        <v>92</v>
      </c>
    </row>
    <row r="17" customFormat="false" ht="15" hidden="false" customHeight="false" outlineLevel="0" collapsed="false">
      <c r="A17" s="6" t="s">
        <v>162</v>
      </c>
      <c r="B17" s="6" t="s">
        <v>163</v>
      </c>
      <c r="C17" s="6" t="s">
        <v>164</v>
      </c>
      <c r="D17" s="6" t="s">
        <v>39</v>
      </c>
      <c r="E17" s="6" t="s">
        <v>40</v>
      </c>
      <c r="F17" s="6"/>
      <c r="G17" s="6"/>
      <c r="H17" s="6" t="s">
        <v>165</v>
      </c>
      <c r="I17" s="7" t="n">
        <v>1999</v>
      </c>
      <c r="J17" s="7" t="n">
        <v>3999</v>
      </c>
      <c r="K17" s="6" t="n">
        <v>0</v>
      </c>
      <c r="L17" s="6" t="n">
        <v>3</v>
      </c>
      <c r="M17" s="6" t="s">
        <v>166</v>
      </c>
      <c r="N17" s="6" t="s">
        <v>167</v>
      </c>
      <c r="O17" s="8" t="b">
        <f aca="false">TRUE()</f>
        <v>1</v>
      </c>
      <c r="P17" s="6" t="s">
        <v>168</v>
      </c>
      <c r="Q17" s="6" t="s">
        <v>46</v>
      </c>
      <c r="R17" s="6" t="s">
        <v>46</v>
      </c>
      <c r="S17" s="10" t="b">
        <f aca="false">TRUE()</f>
        <v>1</v>
      </c>
      <c r="T17" s="6" t="s">
        <v>169</v>
      </c>
      <c r="U17" s="6" t="s">
        <v>108</v>
      </c>
      <c r="V17" s="6" t="s">
        <v>170</v>
      </c>
      <c r="W17" s="6" t="s">
        <v>92</v>
      </c>
    </row>
    <row r="18" customFormat="false" ht="15" hidden="false" customHeight="false" outlineLevel="0" collapsed="false">
      <c r="A18" s="6" t="s">
        <v>171</v>
      </c>
      <c r="B18" s="6" t="s">
        <v>172</v>
      </c>
      <c r="C18" s="6" t="s">
        <v>173</v>
      </c>
      <c r="D18" s="6" t="s">
        <v>39</v>
      </c>
      <c r="E18" s="6" t="s">
        <v>40</v>
      </c>
      <c r="F18" s="6"/>
      <c r="G18" s="6"/>
      <c r="H18" s="6" t="s">
        <v>113</v>
      </c>
      <c r="I18" s="7" t="n">
        <v>5000</v>
      </c>
      <c r="J18" s="7" t="n">
        <v>5600</v>
      </c>
      <c r="K18" s="6" t="n">
        <v>0</v>
      </c>
      <c r="L18" s="6" t="n">
        <v>2</v>
      </c>
      <c r="M18" s="6" t="s">
        <v>157</v>
      </c>
      <c r="N18" s="6" t="s">
        <v>174</v>
      </c>
      <c r="O18" s="8" t="b">
        <f aca="false">TRUE()</f>
        <v>1</v>
      </c>
      <c r="P18" s="6" t="s">
        <v>175</v>
      </c>
      <c r="Q18" s="6" t="s">
        <v>46</v>
      </c>
      <c r="R18" s="6" t="s">
        <v>46</v>
      </c>
      <c r="S18" s="10" t="b">
        <f aca="false">TRUE()</f>
        <v>1</v>
      </c>
      <c r="T18" s="6" t="s">
        <v>176</v>
      </c>
      <c r="U18" s="6" t="s">
        <v>108</v>
      </c>
      <c r="V18" s="6" t="s">
        <v>177</v>
      </c>
      <c r="W18" s="6" t="s">
        <v>92</v>
      </c>
    </row>
    <row r="19" customFormat="false" ht="15" hidden="false" customHeight="false" outlineLevel="0" collapsed="false">
      <c r="A19" s="6" t="s">
        <v>178</v>
      </c>
      <c r="B19" s="6" t="s">
        <v>179</v>
      </c>
      <c r="C19" s="6" t="s">
        <v>180</v>
      </c>
      <c r="D19" s="6" t="s">
        <v>39</v>
      </c>
      <c r="E19" s="6" t="s">
        <v>40</v>
      </c>
      <c r="F19" s="6"/>
      <c r="G19" s="6"/>
      <c r="H19" s="6" t="s">
        <v>113</v>
      </c>
      <c r="I19" s="7" t="n">
        <v>2499</v>
      </c>
      <c r="J19" s="7" t="n">
        <v>3499</v>
      </c>
      <c r="K19" s="6" t="n">
        <v>0</v>
      </c>
      <c r="L19" s="6" t="n">
        <v>2</v>
      </c>
      <c r="M19" s="6" t="s">
        <v>181</v>
      </c>
      <c r="N19" s="6" t="s">
        <v>182</v>
      </c>
      <c r="O19" s="8" t="b">
        <f aca="false">TRUE()</f>
        <v>1</v>
      </c>
      <c r="P19" s="6" t="s">
        <v>183</v>
      </c>
      <c r="Q19" s="6" t="s">
        <v>46</v>
      </c>
      <c r="R19" s="6" t="s">
        <v>46</v>
      </c>
      <c r="S19" s="10" t="b">
        <f aca="false">TRUE()</f>
        <v>1</v>
      </c>
      <c r="T19" s="6" t="s">
        <v>184</v>
      </c>
      <c r="U19" s="6" t="s">
        <v>108</v>
      </c>
      <c r="V19" s="6" t="s">
        <v>185</v>
      </c>
      <c r="W19" s="6" t="s">
        <v>92</v>
      </c>
    </row>
    <row r="20" customFormat="false" ht="15" hidden="false" customHeight="false" outlineLevel="0" collapsed="false">
      <c r="A20" s="6" t="s">
        <v>186</v>
      </c>
      <c r="B20" s="6" t="s">
        <v>187</v>
      </c>
      <c r="C20" s="6" t="s">
        <v>188</v>
      </c>
      <c r="D20" s="6" t="s">
        <v>39</v>
      </c>
      <c r="E20" s="6" t="s">
        <v>40</v>
      </c>
      <c r="F20" s="6"/>
      <c r="G20" s="6"/>
      <c r="H20" s="6" t="s">
        <v>189</v>
      </c>
      <c r="I20" s="7" t="n">
        <v>2999</v>
      </c>
      <c r="J20" s="7" t="n">
        <v>3999</v>
      </c>
      <c r="K20" s="6" t="n">
        <v>0</v>
      </c>
      <c r="L20" s="6" t="n">
        <v>2</v>
      </c>
      <c r="M20" s="6" t="s">
        <v>190</v>
      </c>
      <c r="N20" s="6" t="s">
        <v>191</v>
      </c>
      <c r="O20" s="8" t="b">
        <f aca="false">TRUE()</f>
        <v>1</v>
      </c>
      <c r="P20" s="6" t="s">
        <v>192</v>
      </c>
      <c r="Q20" s="6" t="s">
        <v>46</v>
      </c>
      <c r="R20" s="6" t="s">
        <v>46</v>
      </c>
      <c r="S20" s="10" t="b">
        <f aca="false">TRUE()</f>
        <v>1</v>
      </c>
      <c r="T20" s="6" t="s">
        <v>193</v>
      </c>
      <c r="U20" s="6" t="s">
        <v>108</v>
      </c>
      <c r="V20" s="6" t="s">
        <v>194</v>
      </c>
      <c r="W20" s="6" t="s">
        <v>92</v>
      </c>
    </row>
    <row r="21" customFormat="false" ht="15" hidden="false" customHeight="false" outlineLevel="0" collapsed="false">
      <c r="A21" s="6" t="s">
        <v>195</v>
      </c>
      <c r="B21" s="6" t="s">
        <v>196</v>
      </c>
      <c r="C21" s="6" t="s">
        <v>197</v>
      </c>
      <c r="D21" s="6" t="s">
        <v>39</v>
      </c>
      <c r="E21" s="6" t="s">
        <v>40</v>
      </c>
      <c r="F21" s="6"/>
      <c r="G21" s="6"/>
      <c r="H21" s="6" t="s">
        <v>198</v>
      </c>
      <c r="I21" s="7" t="n">
        <v>2499</v>
      </c>
      <c r="J21" s="7" t="n">
        <v>5600</v>
      </c>
      <c r="K21" s="6" t="n">
        <v>0</v>
      </c>
      <c r="L21" s="6" t="n">
        <v>2</v>
      </c>
      <c r="M21" s="6" t="s">
        <v>199</v>
      </c>
      <c r="N21" s="6" t="s">
        <v>200</v>
      </c>
      <c r="O21" s="8" t="b">
        <f aca="false">TRUE()</f>
        <v>1</v>
      </c>
      <c r="P21" s="6" t="s">
        <v>201</v>
      </c>
      <c r="Q21" s="6" t="s">
        <v>46</v>
      </c>
      <c r="R21" s="6" t="s">
        <v>46</v>
      </c>
      <c r="S21" s="10" t="b">
        <f aca="false">TRUE()</f>
        <v>1</v>
      </c>
      <c r="T21" s="6" t="s">
        <v>202</v>
      </c>
      <c r="U21" s="6" t="s">
        <v>108</v>
      </c>
      <c r="V21" s="6" t="s">
        <v>203</v>
      </c>
      <c r="W21" s="6" t="s">
        <v>92</v>
      </c>
    </row>
    <row r="22" customFormat="false" ht="15" hidden="false" customHeight="false" outlineLevel="0" collapsed="false">
      <c r="A22" s="6" t="s">
        <v>204</v>
      </c>
      <c r="B22" s="6" t="s">
        <v>205</v>
      </c>
      <c r="C22" s="6" t="s">
        <v>206</v>
      </c>
      <c r="D22" s="6" t="s">
        <v>39</v>
      </c>
      <c r="E22" s="6" t="s">
        <v>40</v>
      </c>
      <c r="F22" s="6"/>
      <c r="G22" s="6"/>
      <c r="H22" s="6" t="s">
        <v>113</v>
      </c>
      <c r="I22" s="7" t="n">
        <v>5000</v>
      </c>
      <c r="J22" s="7" t="n">
        <v>5600</v>
      </c>
      <c r="K22" s="6" t="n">
        <v>0</v>
      </c>
      <c r="L22" s="6" t="n">
        <v>2</v>
      </c>
      <c r="M22" s="6" t="s">
        <v>157</v>
      </c>
      <c r="N22" s="6" t="s">
        <v>207</v>
      </c>
      <c r="O22" s="8" t="b">
        <f aca="false">TRUE()</f>
        <v>1</v>
      </c>
      <c r="P22" s="6" t="s">
        <v>208</v>
      </c>
      <c r="Q22" s="6" t="s">
        <v>46</v>
      </c>
      <c r="R22" s="6" t="s">
        <v>46</v>
      </c>
      <c r="S22" s="10" t="b">
        <f aca="false">TRUE()</f>
        <v>1</v>
      </c>
      <c r="T22" s="6" t="s">
        <v>209</v>
      </c>
      <c r="U22" s="6" t="s">
        <v>108</v>
      </c>
      <c r="V22" s="6" t="s">
        <v>210</v>
      </c>
      <c r="W22" s="6" t="s">
        <v>92</v>
      </c>
    </row>
    <row r="23" customFormat="false" ht="15" hidden="false" customHeight="false" outlineLevel="0" collapsed="false">
      <c r="A23" s="6" t="s">
        <v>211</v>
      </c>
      <c r="B23" s="6" t="s">
        <v>212</v>
      </c>
      <c r="C23" s="6" t="s">
        <v>213</v>
      </c>
      <c r="D23" s="6" t="s">
        <v>39</v>
      </c>
      <c r="E23" s="6" t="s">
        <v>40</v>
      </c>
      <c r="F23" s="6"/>
      <c r="G23" s="6"/>
      <c r="H23" s="6" t="s">
        <v>214</v>
      </c>
      <c r="I23" s="7" t="n">
        <v>5000</v>
      </c>
      <c r="J23" s="7" t="n">
        <v>5600</v>
      </c>
      <c r="K23" s="6" t="n">
        <v>0</v>
      </c>
      <c r="L23" s="6" t="n">
        <v>2</v>
      </c>
      <c r="M23" s="6" t="s">
        <v>157</v>
      </c>
      <c r="N23" s="6" t="s">
        <v>215</v>
      </c>
      <c r="O23" s="8" t="b">
        <f aca="false">TRUE()</f>
        <v>1</v>
      </c>
      <c r="P23" s="6" t="s">
        <v>216</v>
      </c>
      <c r="Q23" s="6" t="s">
        <v>46</v>
      </c>
      <c r="R23" s="6" t="s">
        <v>46</v>
      </c>
      <c r="S23" s="10" t="b">
        <f aca="false">TRUE()</f>
        <v>1</v>
      </c>
      <c r="T23" s="6" t="s">
        <v>217</v>
      </c>
      <c r="U23" s="6" t="s">
        <v>108</v>
      </c>
      <c r="V23" s="6" t="s">
        <v>218</v>
      </c>
      <c r="W23" s="6" t="s">
        <v>92</v>
      </c>
    </row>
    <row r="24" customFormat="false" ht="15" hidden="false" customHeight="false" outlineLevel="0" collapsed="false">
      <c r="A24" s="6" t="s">
        <v>219</v>
      </c>
      <c r="B24" s="6" t="s">
        <v>220</v>
      </c>
      <c r="C24" s="6" t="s">
        <v>221</v>
      </c>
      <c r="D24" s="6" t="s">
        <v>39</v>
      </c>
      <c r="E24" s="6" t="s">
        <v>40</v>
      </c>
      <c r="F24" s="6"/>
      <c r="G24" s="6"/>
      <c r="H24" s="6" t="s">
        <v>222</v>
      </c>
      <c r="I24" s="7" t="n">
        <v>1999</v>
      </c>
      <c r="J24" s="7" t="n">
        <v>3999</v>
      </c>
      <c r="K24" s="6" t="n">
        <v>0</v>
      </c>
      <c r="L24" s="6" t="n">
        <v>3</v>
      </c>
      <c r="M24" s="6" t="s">
        <v>223</v>
      </c>
      <c r="N24" s="6" t="s">
        <v>224</v>
      </c>
      <c r="O24" s="8" t="b">
        <f aca="false">TRUE()</f>
        <v>1</v>
      </c>
      <c r="P24" s="6" t="s">
        <v>225</v>
      </c>
      <c r="Q24" s="6" t="s">
        <v>46</v>
      </c>
      <c r="R24" s="6" t="s">
        <v>46</v>
      </c>
      <c r="S24" s="10" t="b">
        <f aca="false">TRUE()</f>
        <v>1</v>
      </c>
      <c r="T24" s="6" t="s">
        <v>226</v>
      </c>
      <c r="U24" s="6" t="s">
        <v>108</v>
      </c>
      <c r="V24" s="6" t="s">
        <v>227</v>
      </c>
      <c r="W24" s="6" t="s">
        <v>92</v>
      </c>
    </row>
    <row r="25" customFormat="false" ht="15" hidden="false" customHeight="false" outlineLevel="0" collapsed="false">
      <c r="A25" s="6" t="s">
        <v>228</v>
      </c>
      <c r="B25" s="6" t="s">
        <v>229</v>
      </c>
      <c r="C25" s="6" t="s">
        <v>230</v>
      </c>
      <c r="D25" s="6" t="s">
        <v>39</v>
      </c>
      <c r="E25" s="6" t="s">
        <v>40</v>
      </c>
      <c r="F25" s="6"/>
      <c r="G25" s="6"/>
      <c r="H25" s="6" t="s">
        <v>231</v>
      </c>
      <c r="I25" s="7" t="n">
        <v>2499</v>
      </c>
      <c r="J25" s="7" t="n">
        <v>5600</v>
      </c>
      <c r="K25" s="6" t="n">
        <v>0</v>
      </c>
      <c r="L25" s="6" t="n">
        <v>2</v>
      </c>
      <c r="M25" s="6" t="s">
        <v>199</v>
      </c>
      <c r="N25" s="6" t="s">
        <v>232</v>
      </c>
      <c r="O25" s="8" t="b">
        <f aca="false">TRUE()</f>
        <v>1</v>
      </c>
      <c r="P25" s="6" t="s">
        <v>233</v>
      </c>
      <c r="Q25" s="6" t="s">
        <v>46</v>
      </c>
      <c r="R25" s="6" t="s">
        <v>46</v>
      </c>
      <c r="S25" s="10" t="b">
        <f aca="false">TRUE()</f>
        <v>1</v>
      </c>
      <c r="T25" s="6" t="s">
        <v>234</v>
      </c>
      <c r="U25" s="6" t="s">
        <v>108</v>
      </c>
      <c r="V25" s="6" t="s">
        <v>235</v>
      </c>
      <c r="W25" s="6" t="s">
        <v>92</v>
      </c>
    </row>
    <row r="26" customFormat="false" ht="15" hidden="false" customHeight="false" outlineLevel="0" collapsed="false">
      <c r="A26" s="6" t="s">
        <v>236</v>
      </c>
      <c r="B26" s="6" t="s">
        <v>237</v>
      </c>
      <c r="C26" s="6" t="s">
        <v>238</v>
      </c>
      <c r="D26" s="6" t="s">
        <v>39</v>
      </c>
      <c r="E26" s="6" t="s">
        <v>40</v>
      </c>
      <c r="F26" s="6"/>
      <c r="G26" s="6"/>
      <c r="H26" s="6" t="s">
        <v>113</v>
      </c>
      <c r="I26" s="7" t="n">
        <v>1999</v>
      </c>
      <c r="J26" s="7" t="n">
        <v>3999</v>
      </c>
      <c r="K26" s="6" t="n">
        <v>0</v>
      </c>
      <c r="L26" s="6" t="n">
        <v>3</v>
      </c>
      <c r="M26" s="6" t="s">
        <v>166</v>
      </c>
      <c r="N26" s="6" t="s">
        <v>239</v>
      </c>
      <c r="O26" s="8" t="b">
        <f aca="false">TRUE()</f>
        <v>1</v>
      </c>
      <c r="P26" s="6" t="s">
        <v>240</v>
      </c>
      <c r="Q26" s="6" t="s">
        <v>46</v>
      </c>
      <c r="R26" s="6" t="s">
        <v>46</v>
      </c>
      <c r="S26" s="10" t="b">
        <f aca="false">TRUE()</f>
        <v>1</v>
      </c>
      <c r="T26" s="6" t="s">
        <v>241</v>
      </c>
      <c r="U26" s="6" t="s">
        <v>108</v>
      </c>
      <c r="V26" s="6" t="s">
        <v>242</v>
      </c>
      <c r="W26" s="6" t="s">
        <v>92</v>
      </c>
    </row>
    <row r="27" customFormat="false" ht="15" hidden="false" customHeight="false" outlineLevel="0" collapsed="false">
      <c r="A27" s="6" t="s">
        <v>243</v>
      </c>
      <c r="B27" s="6" t="s">
        <v>244</v>
      </c>
      <c r="C27" s="6" t="s">
        <v>245</v>
      </c>
      <c r="D27" s="6" t="s">
        <v>39</v>
      </c>
      <c r="E27" s="6" t="s">
        <v>40</v>
      </c>
      <c r="F27" s="6"/>
      <c r="G27" s="6"/>
      <c r="H27" s="6" t="s">
        <v>113</v>
      </c>
      <c r="I27" s="7" t="n">
        <v>1999</v>
      </c>
      <c r="J27" s="7" t="n">
        <v>3999</v>
      </c>
      <c r="K27" s="6" t="n">
        <v>0</v>
      </c>
      <c r="L27" s="6" t="n">
        <v>3</v>
      </c>
      <c r="M27" s="6" t="s">
        <v>223</v>
      </c>
      <c r="N27" s="6" t="s">
        <v>246</v>
      </c>
      <c r="O27" s="8" t="b">
        <f aca="false">TRUE()</f>
        <v>1</v>
      </c>
      <c r="P27" s="6" t="s">
        <v>247</v>
      </c>
      <c r="Q27" s="6" t="s">
        <v>46</v>
      </c>
      <c r="R27" s="6" t="s">
        <v>46</v>
      </c>
      <c r="S27" s="10" t="b">
        <f aca="false">TRUE()</f>
        <v>1</v>
      </c>
      <c r="T27" s="6" t="s">
        <v>248</v>
      </c>
      <c r="U27" s="6" t="s">
        <v>108</v>
      </c>
      <c r="V27" s="6" t="s">
        <v>249</v>
      </c>
      <c r="W27" s="6" t="s">
        <v>92</v>
      </c>
    </row>
    <row r="28" customFormat="false" ht="15" hidden="false" customHeight="false" outlineLevel="0" collapsed="false">
      <c r="A28" s="6" t="s">
        <v>250</v>
      </c>
      <c r="B28" s="6" t="s">
        <v>251</v>
      </c>
      <c r="C28" s="6" t="s">
        <v>252</v>
      </c>
      <c r="D28" s="6" t="s">
        <v>39</v>
      </c>
      <c r="E28" s="6" t="s">
        <v>40</v>
      </c>
      <c r="F28" s="6"/>
      <c r="G28" s="6"/>
      <c r="H28" s="6" t="s">
        <v>113</v>
      </c>
      <c r="I28" s="7" t="n">
        <v>2499</v>
      </c>
      <c r="J28" s="7" t="n">
        <v>5600</v>
      </c>
      <c r="K28" s="6" t="n">
        <v>0</v>
      </c>
      <c r="L28" s="6" t="n">
        <v>2</v>
      </c>
      <c r="M28" s="6" t="s">
        <v>199</v>
      </c>
      <c r="N28" s="6" t="s">
        <v>253</v>
      </c>
      <c r="O28" s="8" t="b">
        <f aca="false">TRUE()</f>
        <v>1</v>
      </c>
      <c r="P28" s="6" t="s">
        <v>254</v>
      </c>
      <c r="Q28" s="6" t="s">
        <v>46</v>
      </c>
      <c r="R28" s="6" t="s">
        <v>46</v>
      </c>
      <c r="S28" s="10" t="b">
        <f aca="false">TRUE()</f>
        <v>1</v>
      </c>
      <c r="T28" s="6" t="s">
        <v>255</v>
      </c>
      <c r="U28" s="6" t="s">
        <v>108</v>
      </c>
      <c r="V28" s="6" t="s">
        <v>256</v>
      </c>
      <c r="W28" s="6" t="s">
        <v>92</v>
      </c>
    </row>
    <row r="29" customFormat="false" ht="15" hidden="false" customHeight="false" outlineLevel="0" collapsed="false">
      <c r="A29" s="6" t="s">
        <v>257</v>
      </c>
      <c r="B29" s="6" t="s">
        <v>258</v>
      </c>
      <c r="C29" s="6" t="s">
        <v>259</v>
      </c>
      <c r="D29" s="6" t="s">
        <v>39</v>
      </c>
      <c r="E29" s="6" t="s">
        <v>40</v>
      </c>
      <c r="F29" s="6"/>
      <c r="G29" s="6"/>
      <c r="H29" s="6" t="s">
        <v>260</v>
      </c>
      <c r="I29" s="7" t="n">
        <v>2999</v>
      </c>
      <c r="J29" s="7" t="n">
        <v>3999</v>
      </c>
      <c r="K29" s="6" t="n">
        <v>0</v>
      </c>
      <c r="L29" s="6" t="n">
        <v>2</v>
      </c>
      <c r="M29" s="6" t="s">
        <v>261</v>
      </c>
      <c r="N29" s="6" t="s">
        <v>262</v>
      </c>
      <c r="O29" s="8" t="b">
        <f aca="false">TRUE()</f>
        <v>1</v>
      </c>
      <c r="P29" s="6" t="s">
        <v>263</v>
      </c>
      <c r="Q29" s="6" t="s">
        <v>264</v>
      </c>
      <c r="R29" s="6" t="s">
        <v>264</v>
      </c>
      <c r="S29" s="10" t="b">
        <f aca="false">TRUE()</f>
        <v>1</v>
      </c>
      <c r="T29" s="6" t="s">
        <v>265</v>
      </c>
      <c r="U29" s="6" t="s">
        <v>108</v>
      </c>
      <c r="V29" s="6" t="s">
        <v>266</v>
      </c>
      <c r="W29" s="6" t="s">
        <v>92</v>
      </c>
    </row>
    <row r="30" customFormat="false" ht="15" hidden="false" customHeight="false" outlineLevel="0" collapsed="false">
      <c r="A30" s="6" t="s">
        <v>267</v>
      </c>
      <c r="B30" s="6" t="s">
        <v>268</v>
      </c>
      <c r="C30" s="6" t="s">
        <v>269</v>
      </c>
      <c r="D30" s="6" t="s">
        <v>39</v>
      </c>
      <c r="E30" s="6" t="s">
        <v>40</v>
      </c>
      <c r="F30" s="6"/>
      <c r="G30" s="6"/>
      <c r="H30" s="6" t="s">
        <v>156</v>
      </c>
      <c r="I30" s="7" t="n">
        <v>1499</v>
      </c>
      <c r="J30" s="7" t="n">
        <v>2999</v>
      </c>
      <c r="K30" s="6" t="n">
        <v>0</v>
      </c>
      <c r="L30" s="6" t="n">
        <v>3</v>
      </c>
      <c r="M30" s="6" t="s">
        <v>270</v>
      </c>
      <c r="N30" s="6" t="s">
        <v>271</v>
      </c>
      <c r="O30" s="8" t="b">
        <f aca="false">TRUE()</f>
        <v>1</v>
      </c>
      <c r="P30" s="6" t="s">
        <v>272</v>
      </c>
      <c r="Q30" s="6" t="s">
        <v>264</v>
      </c>
      <c r="R30" s="6" t="s">
        <v>264</v>
      </c>
      <c r="S30" s="10" t="b">
        <f aca="false">TRUE()</f>
        <v>1</v>
      </c>
      <c r="T30" s="6" t="s">
        <v>273</v>
      </c>
      <c r="U30" s="6" t="s">
        <v>108</v>
      </c>
      <c r="V30" s="6" t="s">
        <v>274</v>
      </c>
      <c r="W30" s="6" t="s">
        <v>92</v>
      </c>
    </row>
    <row r="31" customFormat="false" ht="15" hidden="false" customHeight="false" outlineLevel="0" collapsed="false">
      <c r="A31" s="6" t="s">
        <v>275</v>
      </c>
      <c r="B31" s="6" t="s">
        <v>276</v>
      </c>
      <c r="C31" s="6" t="s">
        <v>277</v>
      </c>
      <c r="D31" s="6" t="s">
        <v>39</v>
      </c>
      <c r="E31" s="6" t="s">
        <v>40</v>
      </c>
      <c r="F31" s="6"/>
      <c r="G31" s="6"/>
      <c r="H31" s="6" t="s">
        <v>156</v>
      </c>
      <c r="I31" s="7" t="n">
        <v>3499</v>
      </c>
      <c r="J31" s="7" t="n">
        <v>3499</v>
      </c>
      <c r="K31" s="6" t="n">
        <v>0</v>
      </c>
      <c r="L31" s="6" t="n">
        <v>1</v>
      </c>
      <c r="M31" s="6" t="s">
        <v>278</v>
      </c>
      <c r="N31" s="6" t="s">
        <v>279</v>
      </c>
      <c r="O31" s="8" t="b">
        <f aca="false">TRUE()</f>
        <v>1</v>
      </c>
      <c r="P31" s="6" t="s">
        <v>280</v>
      </c>
      <c r="Q31" s="6" t="s">
        <v>264</v>
      </c>
      <c r="R31" s="6" t="s">
        <v>264</v>
      </c>
      <c r="S31" s="10" t="b">
        <f aca="false">TRUE()</f>
        <v>1</v>
      </c>
      <c r="T31" s="6" t="s">
        <v>281</v>
      </c>
      <c r="U31" s="6" t="s">
        <v>108</v>
      </c>
      <c r="V31" s="6" t="s">
        <v>282</v>
      </c>
      <c r="W31" s="6" t="s">
        <v>92</v>
      </c>
    </row>
    <row r="32" customFormat="false" ht="15" hidden="false" customHeight="false" outlineLevel="0" collapsed="false">
      <c r="A32" s="6" t="s">
        <v>283</v>
      </c>
      <c r="B32" s="6" t="s">
        <v>284</v>
      </c>
      <c r="C32" s="6" t="s">
        <v>285</v>
      </c>
      <c r="D32" s="6" t="s">
        <v>39</v>
      </c>
      <c r="E32" s="6" t="s">
        <v>40</v>
      </c>
      <c r="F32" s="6"/>
      <c r="G32" s="6"/>
      <c r="H32" s="6" t="s">
        <v>113</v>
      </c>
      <c r="I32" s="7" t="n">
        <v>1999</v>
      </c>
      <c r="J32" s="7" t="n">
        <v>3999</v>
      </c>
      <c r="K32" s="6" t="n">
        <v>0</v>
      </c>
      <c r="L32" s="6" t="n">
        <v>3</v>
      </c>
      <c r="M32" s="6" t="s">
        <v>223</v>
      </c>
      <c r="N32" s="6" t="s">
        <v>286</v>
      </c>
      <c r="O32" s="8" t="b">
        <f aca="false">TRUE()</f>
        <v>1</v>
      </c>
      <c r="P32" s="6" t="s">
        <v>287</v>
      </c>
      <c r="Q32" s="6" t="s">
        <v>264</v>
      </c>
      <c r="R32" s="6" t="s">
        <v>264</v>
      </c>
      <c r="S32" s="10" t="b">
        <f aca="false">TRUE()</f>
        <v>1</v>
      </c>
      <c r="T32" s="6" t="s">
        <v>288</v>
      </c>
      <c r="U32" s="6" t="s">
        <v>108</v>
      </c>
      <c r="V32" s="6" t="s">
        <v>289</v>
      </c>
      <c r="W32" s="6" t="s">
        <v>92</v>
      </c>
    </row>
    <row r="33" customFormat="false" ht="15" hidden="false" customHeight="false" outlineLevel="0" collapsed="false">
      <c r="A33" s="6" t="s">
        <v>290</v>
      </c>
      <c r="B33" s="6" t="s">
        <v>291</v>
      </c>
      <c r="C33" s="6" t="s">
        <v>292</v>
      </c>
      <c r="D33" s="6" t="s">
        <v>39</v>
      </c>
      <c r="E33" s="6" t="s">
        <v>40</v>
      </c>
      <c r="F33" s="6"/>
      <c r="G33" s="6"/>
      <c r="H33" s="6" t="s">
        <v>293</v>
      </c>
      <c r="I33" s="7" t="n">
        <v>2499</v>
      </c>
      <c r="J33" s="7" t="n">
        <v>5600</v>
      </c>
      <c r="K33" s="6" t="n">
        <v>0</v>
      </c>
      <c r="L33" s="6" t="n">
        <v>2</v>
      </c>
      <c r="M33" s="6" t="s">
        <v>199</v>
      </c>
      <c r="N33" s="6" t="s">
        <v>294</v>
      </c>
      <c r="O33" s="8" t="b">
        <f aca="false">TRUE()</f>
        <v>1</v>
      </c>
      <c r="P33" s="6" t="s">
        <v>295</v>
      </c>
      <c r="Q33" s="6" t="s">
        <v>264</v>
      </c>
      <c r="R33" s="6" t="s">
        <v>264</v>
      </c>
      <c r="S33" s="10" t="b">
        <f aca="false">TRUE()</f>
        <v>1</v>
      </c>
      <c r="T33" s="6" t="s">
        <v>296</v>
      </c>
      <c r="U33" s="6" t="s">
        <v>108</v>
      </c>
      <c r="V33" s="6" t="s">
        <v>297</v>
      </c>
      <c r="W33" s="6" t="s">
        <v>92</v>
      </c>
    </row>
    <row r="34" customFormat="false" ht="15" hidden="false" customHeight="false" outlineLevel="0" collapsed="false">
      <c r="A34" s="6" t="s">
        <v>298</v>
      </c>
      <c r="B34" s="6" t="s">
        <v>299</v>
      </c>
      <c r="C34" s="6" t="s">
        <v>300</v>
      </c>
      <c r="D34" s="6" t="s">
        <v>39</v>
      </c>
      <c r="E34" s="6" t="s">
        <v>40</v>
      </c>
      <c r="F34" s="6"/>
      <c r="G34" s="6"/>
      <c r="H34" s="6" t="s">
        <v>301</v>
      </c>
      <c r="I34" s="7" t="n">
        <v>2499</v>
      </c>
      <c r="J34" s="7" t="n">
        <v>5600</v>
      </c>
      <c r="K34" s="6" t="n">
        <v>0</v>
      </c>
      <c r="L34" s="6" t="n">
        <v>2</v>
      </c>
      <c r="M34" s="6" t="s">
        <v>302</v>
      </c>
      <c r="N34" s="6" t="s">
        <v>303</v>
      </c>
      <c r="O34" s="8" t="b">
        <f aca="false">TRUE()</f>
        <v>1</v>
      </c>
      <c r="P34" s="6" t="s">
        <v>304</v>
      </c>
      <c r="Q34" s="6" t="s">
        <v>264</v>
      </c>
      <c r="R34" s="6" t="s">
        <v>264</v>
      </c>
      <c r="S34" s="10" t="b">
        <f aca="false">TRUE()</f>
        <v>1</v>
      </c>
      <c r="T34" s="6" t="s">
        <v>305</v>
      </c>
      <c r="U34" s="6" t="s">
        <v>108</v>
      </c>
      <c r="V34" s="6" t="s">
        <v>306</v>
      </c>
      <c r="W34" s="6" t="s">
        <v>92</v>
      </c>
    </row>
    <row r="35" customFormat="false" ht="15" hidden="false" customHeight="false" outlineLevel="0" collapsed="false">
      <c r="A35" s="6" t="s">
        <v>307</v>
      </c>
      <c r="B35" s="6" t="s">
        <v>308</v>
      </c>
      <c r="C35" s="6" t="s">
        <v>309</v>
      </c>
      <c r="D35" s="6" t="s">
        <v>39</v>
      </c>
      <c r="E35" s="6" t="s">
        <v>40</v>
      </c>
      <c r="F35" s="6"/>
      <c r="G35" s="6"/>
      <c r="H35" s="6" t="s">
        <v>113</v>
      </c>
      <c r="I35" s="7" t="n">
        <v>2499</v>
      </c>
      <c r="J35" s="7" t="n">
        <v>5600</v>
      </c>
      <c r="K35" s="6" t="n">
        <v>0</v>
      </c>
      <c r="L35" s="6" t="n">
        <v>2</v>
      </c>
      <c r="M35" s="6" t="s">
        <v>199</v>
      </c>
      <c r="N35" s="6" t="s">
        <v>310</v>
      </c>
      <c r="O35" s="8" t="b">
        <f aca="false">TRUE()</f>
        <v>1</v>
      </c>
      <c r="P35" s="6" t="s">
        <v>311</v>
      </c>
      <c r="Q35" s="6" t="s">
        <v>264</v>
      </c>
      <c r="R35" s="6" t="s">
        <v>264</v>
      </c>
      <c r="S35" s="10" t="b">
        <f aca="false">TRUE()</f>
        <v>1</v>
      </c>
      <c r="T35" s="6" t="s">
        <v>312</v>
      </c>
      <c r="U35" s="6" t="s">
        <v>108</v>
      </c>
      <c r="V35" s="6" t="s">
        <v>313</v>
      </c>
      <c r="W35" s="6" t="s">
        <v>92</v>
      </c>
    </row>
    <row r="36" customFormat="false" ht="15" hidden="false" customHeight="false" outlineLevel="0" collapsed="false">
      <c r="A36" s="6" t="s">
        <v>314</v>
      </c>
      <c r="B36" s="6" t="s">
        <v>315</v>
      </c>
      <c r="C36" s="6" t="s">
        <v>316</v>
      </c>
      <c r="D36" s="6" t="s">
        <v>39</v>
      </c>
      <c r="E36" s="6" t="s">
        <v>40</v>
      </c>
      <c r="F36" s="6"/>
      <c r="G36" s="6"/>
      <c r="H36" s="6" t="s">
        <v>317</v>
      </c>
      <c r="I36" s="7" t="n">
        <v>1999</v>
      </c>
      <c r="J36" s="7" t="n">
        <v>3999</v>
      </c>
      <c r="K36" s="6" t="n">
        <v>0</v>
      </c>
      <c r="L36" s="6" t="n">
        <v>3</v>
      </c>
      <c r="M36" s="6" t="s">
        <v>223</v>
      </c>
      <c r="N36" s="6" t="s">
        <v>318</v>
      </c>
      <c r="O36" s="8" t="b">
        <f aca="false">TRUE()</f>
        <v>1</v>
      </c>
      <c r="P36" s="6" t="s">
        <v>319</v>
      </c>
      <c r="Q36" s="6" t="s">
        <v>264</v>
      </c>
      <c r="R36" s="6" t="s">
        <v>264</v>
      </c>
      <c r="S36" s="10" t="b">
        <f aca="false">TRUE()</f>
        <v>1</v>
      </c>
      <c r="T36" s="6" t="s">
        <v>320</v>
      </c>
      <c r="U36" s="6" t="s">
        <v>108</v>
      </c>
      <c r="V36" s="6" t="s">
        <v>321</v>
      </c>
      <c r="W36" s="6" t="s">
        <v>92</v>
      </c>
    </row>
    <row r="37" customFormat="false" ht="15" hidden="false" customHeight="false" outlineLevel="0" collapsed="false">
      <c r="A37" s="6" t="s">
        <v>322</v>
      </c>
      <c r="B37" s="6" t="s">
        <v>323</v>
      </c>
      <c r="C37" s="6" t="s">
        <v>324</v>
      </c>
      <c r="D37" s="6" t="s">
        <v>39</v>
      </c>
      <c r="E37" s="6" t="s">
        <v>40</v>
      </c>
      <c r="F37" s="6"/>
      <c r="G37" s="6"/>
      <c r="H37" s="6" t="s">
        <v>113</v>
      </c>
      <c r="I37" s="7" t="n">
        <v>1999</v>
      </c>
      <c r="J37" s="7" t="n">
        <v>3999</v>
      </c>
      <c r="K37" s="6" t="n">
        <v>0</v>
      </c>
      <c r="L37" s="6" t="n">
        <v>3</v>
      </c>
      <c r="M37" s="6" t="s">
        <v>130</v>
      </c>
      <c r="N37" s="6" t="s">
        <v>325</v>
      </c>
      <c r="O37" s="8" t="b">
        <f aca="false">TRUE()</f>
        <v>1</v>
      </c>
      <c r="P37" s="6" t="s">
        <v>326</v>
      </c>
      <c r="Q37" s="6" t="s">
        <v>264</v>
      </c>
      <c r="R37" s="6" t="s">
        <v>264</v>
      </c>
      <c r="S37" s="10" t="b">
        <f aca="false">TRUE()</f>
        <v>1</v>
      </c>
      <c r="T37" s="6" t="s">
        <v>327</v>
      </c>
      <c r="U37" s="6" t="s">
        <v>108</v>
      </c>
      <c r="V37" s="6" t="s">
        <v>328</v>
      </c>
      <c r="W37" s="6" t="s">
        <v>92</v>
      </c>
    </row>
    <row r="38" customFormat="false" ht="15" hidden="false" customHeight="false" outlineLevel="0" collapsed="false">
      <c r="A38" s="6" t="s">
        <v>329</v>
      </c>
      <c r="B38" s="6" t="s">
        <v>330</v>
      </c>
      <c r="C38" s="6" t="s">
        <v>331</v>
      </c>
      <c r="D38" s="6" t="s">
        <v>39</v>
      </c>
      <c r="E38" s="6" t="s">
        <v>40</v>
      </c>
      <c r="F38" s="6"/>
      <c r="G38" s="6"/>
      <c r="H38" s="6" t="s">
        <v>113</v>
      </c>
      <c r="I38" s="7" t="n">
        <v>2499</v>
      </c>
      <c r="J38" s="7" t="n">
        <v>3499</v>
      </c>
      <c r="K38" s="6" t="n">
        <v>0</v>
      </c>
      <c r="L38" s="6" t="n">
        <v>2</v>
      </c>
      <c r="M38" s="6" t="s">
        <v>181</v>
      </c>
      <c r="N38" s="6" t="s">
        <v>332</v>
      </c>
      <c r="O38" s="8" t="b">
        <f aca="false">TRUE()</f>
        <v>1</v>
      </c>
      <c r="P38" s="6" t="s">
        <v>333</v>
      </c>
      <c r="Q38" s="6" t="s">
        <v>264</v>
      </c>
      <c r="R38" s="6" t="s">
        <v>264</v>
      </c>
      <c r="S38" s="10" t="b">
        <f aca="false">TRUE()</f>
        <v>1</v>
      </c>
      <c r="T38" s="6" t="s">
        <v>334</v>
      </c>
      <c r="U38" s="6" t="s">
        <v>108</v>
      </c>
      <c r="V38" s="6" t="s">
        <v>335</v>
      </c>
      <c r="W38" s="6" t="s">
        <v>92</v>
      </c>
    </row>
    <row r="39" customFormat="false" ht="15" hidden="false" customHeight="false" outlineLevel="0" collapsed="false">
      <c r="A39" s="6" t="s">
        <v>336</v>
      </c>
      <c r="B39" s="6" t="s">
        <v>337</v>
      </c>
      <c r="C39" s="6" t="s">
        <v>338</v>
      </c>
      <c r="D39" s="6" t="s">
        <v>39</v>
      </c>
      <c r="E39" s="6" t="s">
        <v>40</v>
      </c>
      <c r="F39" s="6"/>
      <c r="G39" s="6"/>
      <c r="H39" s="6" t="s">
        <v>113</v>
      </c>
      <c r="I39" s="7" t="n">
        <v>1999</v>
      </c>
      <c r="J39" s="7" t="n">
        <v>3999</v>
      </c>
      <c r="K39" s="6" t="n">
        <v>0</v>
      </c>
      <c r="L39" s="6" t="n">
        <v>3</v>
      </c>
      <c r="M39" s="6" t="s">
        <v>339</v>
      </c>
      <c r="N39" s="6" t="s">
        <v>340</v>
      </c>
      <c r="O39" s="8" t="b">
        <f aca="false">TRUE()</f>
        <v>1</v>
      </c>
      <c r="P39" s="6" t="s">
        <v>341</v>
      </c>
      <c r="Q39" s="6" t="s">
        <v>264</v>
      </c>
      <c r="R39" s="6" t="s">
        <v>264</v>
      </c>
      <c r="S39" s="9" t="b">
        <f aca="false">FALSE()</f>
        <v>0</v>
      </c>
      <c r="T39" s="6"/>
      <c r="U39" s="6"/>
      <c r="V39" s="6"/>
      <c r="W39" s="6"/>
    </row>
    <row r="40" customFormat="false" ht="15" hidden="false" customHeight="false" outlineLevel="0" collapsed="false">
      <c r="A40" s="6" t="s">
        <v>342</v>
      </c>
      <c r="B40" s="6" t="s">
        <v>343</v>
      </c>
      <c r="C40" s="6" t="s">
        <v>344</v>
      </c>
      <c r="D40" s="6" t="s">
        <v>39</v>
      </c>
      <c r="E40" s="6" t="s">
        <v>40</v>
      </c>
      <c r="F40" s="6"/>
      <c r="G40" s="6"/>
      <c r="H40" s="6" t="s">
        <v>317</v>
      </c>
      <c r="I40" s="7" t="n">
        <v>2499</v>
      </c>
      <c r="J40" s="7" t="n">
        <v>2999</v>
      </c>
      <c r="K40" s="6" t="n">
        <v>0</v>
      </c>
      <c r="L40" s="6" t="n">
        <v>2</v>
      </c>
      <c r="M40" s="6" t="s">
        <v>345</v>
      </c>
      <c r="N40" s="6" t="s">
        <v>346</v>
      </c>
      <c r="O40" s="8" t="b">
        <f aca="false">TRUE()</f>
        <v>1</v>
      </c>
      <c r="P40" s="6" t="s">
        <v>347</v>
      </c>
      <c r="Q40" s="6" t="s">
        <v>264</v>
      </c>
      <c r="R40" s="6" t="s">
        <v>264</v>
      </c>
      <c r="S40" s="10" t="b">
        <f aca="false">TRUE()</f>
        <v>1</v>
      </c>
      <c r="T40" s="6" t="s">
        <v>348</v>
      </c>
      <c r="U40" s="6" t="s">
        <v>108</v>
      </c>
      <c r="V40" s="6" t="s">
        <v>349</v>
      </c>
      <c r="W40" s="6" t="s">
        <v>92</v>
      </c>
    </row>
    <row r="41" customFormat="false" ht="15" hidden="false" customHeight="false" outlineLevel="0" collapsed="false">
      <c r="A41" s="6" t="s">
        <v>350</v>
      </c>
      <c r="B41" s="6" t="s">
        <v>351</v>
      </c>
      <c r="C41" s="6" t="s">
        <v>352</v>
      </c>
      <c r="D41" s="6" t="s">
        <v>39</v>
      </c>
      <c r="E41" s="6" t="s">
        <v>40</v>
      </c>
      <c r="F41" s="6"/>
      <c r="G41" s="6"/>
      <c r="H41" s="6" t="s">
        <v>222</v>
      </c>
      <c r="I41" s="7" t="n">
        <v>1999</v>
      </c>
      <c r="J41" s="7" t="n">
        <v>3999</v>
      </c>
      <c r="K41" s="6" t="n">
        <v>0</v>
      </c>
      <c r="L41" s="6" t="n">
        <v>3</v>
      </c>
      <c r="M41" s="6" t="s">
        <v>353</v>
      </c>
      <c r="N41" s="6" t="s">
        <v>354</v>
      </c>
      <c r="O41" s="8" t="b">
        <f aca="false">TRUE()</f>
        <v>1</v>
      </c>
      <c r="P41" s="6" t="s">
        <v>355</v>
      </c>
      <c r="Q41" s="6" t="s">
        <v>264</v>
      </c>
      <c r="R41" s="6" t="s">
        <v>264</v>
      </c>
      <c r="S41" s="10" t="b">
        <f aca="false">TRUE()</f>
        <v>1</v>
      </c>
      <c r="T41" s="6" t="s">
        <v>356</v>
      </c>
      <c r="U41" s="6" t="s">
        <v>108</v>
      </c>
      <c r="V41" s="6" t="s">
        <v>357</v>
      </c>
      <c r="W41" s="6" t="s">
        <v>358</v>
      </c>
    </row>
    <row r="42" customFormat="false" ht="15" hidden="false" customHeight="false" outlineLevel="0" collapsed="false">
      <c r="A42" s="6" t="s">
        <v>359</v>
      </c>
      <c r="B42" s="6" t="s">
        <v>360</v>
      </c>
      <c r="C42" s="6" t="s">
        <v>361</v>
      </c>
      <c r="D42" s="6" t="s">
        <v>39</v>
      </c>
      <c r="E42" s="6" t="s">
        <v>40</v>
      </c>
      <c r="F42" s="6"/>
      <c r="G42" s="6"/>
      <c r="H42" s="6" t="s">
        <v>362</v>
      </c>
      <c r="I42" s="7" t="n">
        <v>5000</v>
      </c>
      <c r="J42" s="7" t="n">
        <v>5600</v>
      </c>
      <c r="K42" s="6" t="n">
        <v>0</v>
      </c>
      <c r="L42" s="6" t="n">
        <v>2</v>
      </c>
      <c r="M42" s="6" t="s">
        <v>157</v>
      </c>
      <c r="N42" s="6" t="s">
        <v>363</v>
      </c>
      <c r="O42" s="8" t="b">
        <f aca="false">TRUE()</f>
        <v>1</v>
      </c>
      <c r="P42" s="6" t="s">
        <v>364</v>
      </c>
      <c r="Q42" s="6" t="s">
        <v>264</v>
      </c>
      <c r="R42" s="6" t="s">
        <v>264</v>
      </c>
      <c r="S42" s="9" t="b">
        <f aca="false">FALSE()</f>
        <v>0</v>
      </c>
      <c r="T42" s="6"/>
      <c r="U42" s="6"/>
      <c r="V42" s="6"/>
      <c r="W42" s="6"/>
    </row>
    <row r="43" customFormat="false" ht="15" hidden="false" customHeight="false" outlineLevel="0" collapsed="false">
      <c r="A43" s="6" t="s">
        <v>365</v>
      </c>
      <c r="B43" s="6" t="s">
        <v>366</v>
      </c>
      <c r="C43" s="6" t="s">
        <v>367</v>
      </c>
      <c r="D43" s="6" t="s">
        <v>39</v>
      </c>
      <c r="E43" s="6" t="s">
        <v>40</v>
      </c>
      <c r="F43" s="6"/>
      <c r="G43" s="6"/>
      <c r="H43" s="6" t="s">
        <v>113</v>
      </c>
      <c r="I43" s="7" t="n">
        <v>2499</v>
      </c>
      <c r="J43" s="7" t="n">
        <v>2999</v>
      </c>
      <c r="K43" s="6" t="n">
        <v>0</v>
      </c>
      <c r="L43" s="6" t="n">
        <v>2</v>
      </c>
      <c r="M43" s="6" t="s">
        <v>368</v>
      </c>
      <c r="N43" s="6" t="s">
        <v>369</v>
      </c>
      <c r="O43" s="8" t="b">
        <f aca="false">TRUE()</f>
        <v>1</v>
      </c>
      <c r="P43" s="6" t="s">
        <v>370</v>
      </c>
      <c r="Q43" s="6" t="s">
        <v>264</v>
      </c>
      <c r="R43" s="6" t="s">
        <v>264</v>
      </c>
      <c r="S43" s="10" t="b">
        <f aca="false">TRUE()</f>
        <v>1</v>
      </c>
      <c r="T43" s="6" t="s">
        <v>371</v>
      </c>
      <c r="U43" s="6" t="s">
        <v>108</v>
      </c>
      <c r="V43" s="6" t="s">
        <v>372</v>
      </c>
      <c r="W43" s="6" t="s">
        <v>92</v>
      </c>
    </row>
    <row r="44" customFormat="false" ht="15" hidden="false" customHeight="false" outlineLevel="0" collapsed="false">
      <c r="A44" s="6" t="s">
        <v>373</v>
      </c>
      <c r="B44" s="6" t="s">
        <v>374</v>
      </c>
      <c r="C44" s="6" t="s">
        <v>375</v>
      </c>
      <c r="D44" s="6" t="s">
        <v>39</v>
      </c>
      <c r="E44" s="6" t="s">
        <v>40</v>
      </c>
      <c r="F44" s="6"/>
      <c r="G44" s="6"/>
      <c r="H44" s="6" t="s">
        <v>113</v>
      </c>
      <c r="I44" s="7" t="n">
        <v>2499</v>
      </c>
      <c r="J44" s="7" t="n">
        <v>5600</v>
      </c>
      <c r="K44" s="6" t="n">
        <v>0</v>
      </c>
      <c r="L44" s="6" t="n">
        <v>2</v>
      </c>
      <c r="M44" s="6" t="s">
        <v>199</v>
      </c>
      <c r="N44" s="6" t="s">
        <v>376</v>
      </c>
      <c r="O44" s="8" t="b">
        <f aca="false">TRUE()</f>
        <v>1</v>
      </c>
      <c r="P44" s="6" t="s">
        <v>377</v>
      </c>
      <c r="Q44" s="6" t="s">
        <v>264</v>
      </c>
      <c r="R44" s="6" t="s">
        <v>264</v>
      </c>
      <c r="S44" s="10" t="b">
        <f aca="false">TRUE()</f>
        <v>1</v>
      </c>
      <c r="T44" s="6" t="s">
        <v>378</v>
      </c>
      <c r="U44" s="6" t="s">
        <v>108</v>
      </c>
      <c r="V44" s="6" t="s">
        <v>379</v>
      </c>
      <c r="W44" s="6" t="s">
        <v>92</v>
      </c>
    </row>
    <row r="45" customFormat="false" ht="15" hidden="false" customHeight="false" outlineLevel="0" collapsed="false">
      <c r="A45" s="6" t="s">
        <v>380</v>
      </c>
      <c r="B45" s="6" t="s">
        <v>381</v>
      </c>
      <c r="C45" s="6" t="s">
        <v>382</v>
      </c>
      <c r="D45" s="6" t="s">
        <v>39</v>
      </c>
      <c r="E45" s="6" t="s">
        <v>40</v>
      </c>
      <c r="F45" s="6"/>
      <c r="G45" s="6"/>
      <c r="H45" s="6" t="s">
        <v>113</v>
      </c>
      <c r="I45" s="7" t="n">
        <v>3999</v>
      </c>
      <c r="J45" s="7" t="n">
        <v>3999</v>
      </c>
      <c r="K45" s="6" t="n">
        <v>0</v>
      </c>
      <c r="L45" s="6" t="n">
        <v>1</v>
      </c>
      <c r="M45" s="6" t="s">
        <v>383</v>
      </c>
      <c r="N45" s="6" t="s">
        <v>384</v>
      </c>
      <c r="O45" s="8" t="b">
        <f aca="false">TRUE()</f>
        <v>1</v>
      </c>
      <c r="P45" s="6" t="s">
        <v>385</v>
      </c>
      <c r="Q45" s="6" t="s">
        <v>264</v>
      </c>
      <c r="R45" s="6" t="s">
        <v>264</v>
      </c>
      <c r="S45" s="10" t="b">
        <f aca="false">TRUE()</f>
        <v>1</v>
      </c>
      <c r="T45" s="6" t="s">
        <v>386</v>
      </c>
      <c r="U45" s="6" t="s">
        <v>108</v>
      </c>
      <c r="V45" s="6" t="s">
        <v>387</v>
      </c>
      <c r="W45" s="6" t="s">
        <v>92</v>
      </c>
    </row>
    <row r="46" customFormat="false" ht="15" hidden="false" customHeight="false" outlineLevel="0" collapsed="false">
      <c r="A46" s="6" t="s">
        <v>388</v>
      </c>
      <c r="B46" s="6" t="s">
        <v>389</v>
      </c>
      <c r="C46" s="6" t="s">
        <v>390</v>
      </c>
      <c r="D46" s="6" t="s">
        <v>39</v>
      </c>
      <c r="E46" s="6" t="s">
        <v>40</v>
      </c>
      <c r="F46" s="6"/>
      <c r="G46" s="6"/>
      <c r="H46" s="6" t="s">
        <v>260</v>
      </c>
      <c r="I46" s="7" t="n">
        <v>6999</v>
      </c>
      <c r="J46" s="7" t="n">
        <v>8999</v>
      </c>
      <c r="K46" s="6" t="n">
        <v>0</v>
      </c>
      <c r="L46" s="6" t="n">
        <v>2</v>
      </c>
      <c r="M46" s="6" t="s">
        <v>391</v>
      </c>
      <c r="N46" s="6" t="s">
        <v>392</v>
      </c>
      <c r="O46" s="8" t="b">
        <f aca="false">TRUE()</f>
        <v>1</v>
      </c>
      <c r="P46" s="6" t="s">
        <v>393</v>
      </c>
      <c r="Q46" s="6" t="s">
        <v>264</v>
      </c>
      <c r="R46" s="6" t="s">
        <v>264</v>
      </c>
      <c r="S46" s="10" t="b">
        <f aca="false">TRUE()</f>
        <v>1</v>
      </c>
      <c r="T46" s="6" t="s">
        <v>394</v>
      </c>
      <c r="U46" s="6" t="s">
        <v>108</v>
      </c>
      <c r="V46" s="6" t="s">
        <v>395</v>
      </c>
      <c r="W46" s="6" t="s">
        <v>92</v>
      </c>
    </row>
    <row r="47" customFormat="false" ht="15" hidden="false" customHeight="false" outlineLevel="0" collapsed="false">
      <c r="A47" s="6" t="s">
        <v>396</v>
      </c>
      <c r="B47" s="6" t="s">
        <v>397</v>
      </c>
      <c r="C47" s="6" t="s">
        <v>398</v>
      </c>
      <c r="D47" s="6" t="s">
        <v>39</v>
      </c>
      <c r="E47" s="6" t="s">
        <v>40</v>
      </c>
      <c r="F47" s="6"/>
      <c r="G47" s="6"/>
      <c r="H47" s="6" t="s">
        <v>113</v>
      </c>
      <c r="I47" s="7" t="n">
        <v>1999</v>
      </c>
      <c r="J47" s="7" t="n">
        <v>3999</v>
      </c>
      <c r="K47" s="6" t="n">
        <v>0</v>
      </c>
      <c r="L47" s="6" t="n">
        <v>3</v>
      </c>
      <c r="M47" s="6" t="s">
        <v>223</v>
      </c>
      <c r="N47" s="6" t="s">
        <v>399</v>
      </c>
      <c r="O47" s="8" t="b">
        <f aca="false">TRUE()</f>
        <v>1</v>
      </c>
      <c r="P47" s="6" t="s">
        <v>400</v>
      </c>
      <c r="Q47" s="6" t="s">
        <v>264</v>
      </c>
      <c r="R47" s="6" t="s">
        <v>264</v>
      </c>
      <c r="S47" s="10" t="b">
        <f aca="false">TRUE()</f>
        <v>1</v>
      </c>
      <c r="T47" s="6" t="s">
        <v>401</v>
      </c>
      <c r="U47" s="6" t="s">
        <v>108</v>
      </c>
      <c r="V47" s="6" t="s">
        <v>402</v>
      </c>
      <c r="W47" s="6" t="s">
        <v>358</v>
      </c>
    </row>
    <row r="48" customFormat="false" ht="15" hidden="false" customHeight="false" outlineLevel="0" collapsed="false">
      <c r="A48" s="6" t="s">
        <v>403</v>
      </c>
      <c r="B48" s="6" t="s">
        <v>404</v>
      </c>
      <c r="C48" s="6" t="s">
        <v>405</v>
      </c>
      <c r="D48" s="6" t="s">
        <v>39</v>
      </c>
      <c r="E48" s="6" t="s">
        <v>40</v>
      </c>
      <c r="F48" s="6"/>
      <c r="G48" s="6"/>
      <c r="H48" s="6" t="s">
        <v>113</v>
      </c>
      <c r="I48" s="7" t="n">
        <v>1999</v>
      </c>
      <c r="J48" s="7" t="n">
        <v>3999</v>
      </c>
      <c r="K48" s="6" t="n">
        <v>0</v>
      </c>
      <c r="L48" s="6" t="n">
        <v>3</v>
      </c>
      <c r="M48" s="6" t="s">
        <v>223</v>
      </c>
      <c r="N48" s="6" t="s">
        <v>406</v>
      </c>
      <c r="O48" s="8" t="b">
        <f aca="false">TRUE()</f>
        <v>1</v>
      </c>
      <c r="P48" s="6" t="s">
        <v>407</v>
      </c>
      <c r="Q48" s="6" t="s">
        <v>264</v>
      </c>
      <c r="R48" s="6" t="s">
        <v>264</v>
      </c>
      <c r="S48" s="10" t="b">
        <f aca="false">TRUE()</f>
        <v>1</v>
      </c>
      <c r="T48" s="6" t="s">
        <v>408</v>
      </c>
      <c r="U48" s="6" t="s">
        <v>108</v>
      </c>
      <c r="V48" s="6" t="s">
        <v>409</v>
      </c>
      <c r="W48" s="6" t="s">
        <v>92</v>
      </c>
    </row>
    <row r="49" customFormat="false" ht="15" hidden="false" customHeight="false" outlineLevel="0" collapsed="false">
      <c r="A49" s="6" t="s">
        <v>410</v>
      </c>
      <c r="B49" s="6" t="s">
        <v>411</v>
      </c>
      <c r="C49" s="6" t="s">
        <v>412</v>
      </c>
      <c r="D49" s="6" t="s">
        <v>39</v>
      </c>
      <c r="E49" s="6" t="s">
        <v>40</v>
      </c>
      <c r="F49" s="6"/>
      <c r="G49" s="6"/>
      <c r="H49" s="6" t="s">
        <v>113</v>
      </c>
      <c r="I49" s="7" t="n">
        <v>5000</v>
      </c>
      <c r="J49" s="7" t="n">
        <v>5600</v>
      </c>
      <c r="K49" s="6" t="n">
        <v>0</v>
      </c>
      <c r="L49" s="6" t="n">
        <v>2</v>
      </c>
      <c r="M49" s="6" t="s">
        <v>157</v>
      </c>
      <c r="N49" s="6" t="s">
        <v>413</v>
      </c>
      <c r="O49" s="8" t="b">
        <f aca="false">TRUE()</f>
        <v>1</v>
      </c>
      <c r="P49" s="6" t="s">
        <v>414</v>
      </c>
      <c r="Q49" s="6" t="s">
        <v>264</v>
      </c>
      <c r="R49" s="6" t="s">
        <v>264</v>
      </c>
      <c r="S49" s="10" t="b">
        <f aca="false">TRUE()</f>
        <v>1</v>
      </c>
      <c r="T49" s="6" t="s">
        <v>415</v>
      </c>
      <c r="U49" s="6" t="s">
        <v>108</v>
      </c>
      <c r="V49" s="6" t="s">
        <v>416</v>
      </c>
      <c r="W49" s="6" t="s">
        <v>92</v>
      </c>
    </row>
    <row r="50" customFormat="false" ht="15" hidden="false" customHeight="false" outlineLevel="0" collapsed="false">
      <c r="A50" s="6" t="s">
        <v>417</v>
      </c>
      <c r="B50" s="6" t="s">
        <v>418</v>
      </c>
      <c r="C50" s="6" t="s">
        <v>419</v>
      </c>
      <c r="D50" s="6" t="s">
        <v>39</v>
      </c>
      <c r="E50" s="6" t="s">
        <v>40</v>
      </c>
      <c r="F50" s="6"/>
      <c r="G50" s="6"/>
      <c r="H50" s="6" t="s">
        <v>156</v>
      </c>
      <c r="I50" s="7" t="n">
        <v>2999</v>
      </c>
      <c r="J50" s="7" t="n">
        <v>3999</v>
      </c>
      <c r="K50" s="6" t="n">
        <v>0</v>
      </c>
      <c r="L50" s="6" t="n">
        <v>2</v>
      </c>
      <c r="M50" s="6" t="s">
        <v>420</v>
      </c>
      <c r="N50" s="6" t="s">
        <v>421</v>
      </c>
      <c r="O50" s="8" t="b">
        <f aca="false">TRUE()</f>
        <v>1</v>
      </c>
      <c r="P50" s="6" t="s">
        <v>422</v>
      </c>
      <c r="Q50" s="6" t="s">
        <v>264</v>
      </c>
      <c r="R50" s="6" t="s">
        <v>264</v>
      </c>
      <c r="S50" s="10" t="b">
        <f aca="false">TRUE()</f>
        <v>1</v>
      </c>
      <c r="T50" s="6" t="s">
        <v>423</v>
      </c>
      <c r="U50" s="6" t="s">
        <v>108</v>
      </c>
      <c r="V50" s="6" t="s">
        <v>424</v>
      </c>
      <c r="W50" s="6" t="s">
        <v>92</v>
      </c>
    </row>
    <row r="51" customFormat="false" ht="15" hidden="false" customHeight="false" outlineLevel="0" collapsed="false">
      <c r="A51" s="6" t="s">
        <v>425</v>
      </c>
      <c r="B51" s="6" t="s">
        <v>426</v>
      </c>
      <c r="C51" s="6" t="s">
        <v>427</v>
      </c>
      <c r="D51" s="6" t="s">
        <v>39</v>
      </c>
      <c r="E51" s="6" t="s">
        <v>40</v>
      </c>
      <c r="F51" s="6"/>
      <c r="G51" s="6"/>
      <c r="H51" s="6" t="s">
        <v>428</v>
      </c>
      <c r="I51" s="7" t="n">
        <v>5600</v>
      </c>
      <c r="J51" s="7" t="n">
        <v>5600</v>
      </c>
      <c r="K51" s="6" t="n">
        <v>0</v>
      </c>
      <c r="L51" s="6" t="n">
        <v>1</v>
      </c>
      <c r="M51" s="6" t="s">
        <v>429</v>
      </c>
      <c r="N51" s="6" t="s">
        <v>430</v>
      </c>
      <c r="O51" s="8" t="b">
        <f aca="false">TRUE()</f>
        <v>1</v>
      </c>
      <c r="P51" s="6" t="s">
        <v>431</v>
      </c>
      <c r="Q51" s="6" t="s">
        <v>264</v>
      </c>
      <c r="R51" s="6" t="s">
        <v>264</v>
      </c>
      <c r="S51" s="10" t="b">
        <f aca="false">TRUE()</f>
        <v>1</v>
      </c>
      <c r="T51" s="6" t="s">
        <v>432</v>
      </c>
      <c r="U51" s="6" t="s">
        <v>108</v>
      </c>
      <c r="V51" s="6" t="s">
        <v>433</v>
      </c>
      <c r="W51" s="6" t="s">
        <v>92</v>
      </c>
    </row>
    <row r="52" customFormat="false" ht="15" hidden="false" customHeight="false" outlineLevel="0" collapsed="false">
      <c r="A52" s="6" t="s">
        <v>434</v>
      </c>
      <c r="B52" s="6" t="s">
        <v>435</v>
      </c>
      <c r="C52" s="6" t="s">
        <v>436</v>
      </c>
      <c r="D52" s="6" t="s">
        <v>39</v>
      </c>
      <c r="E52" s="6" t="s">
        <v>40</v>
      </c>
      <c r="F52" s="6"/>
      <c r="G52" s="6"/>
      <c r="H52" s="6" t="s">
        <v>437</v>
      </c>
      <c r="I52" s="7" t="n">
        <v>5000</v>
      </c>
      <c r="J52" s="7" t="n">
        <v>5600</v>
      </c>
      <c r="K52" s="6" t="n">
        <v>0</v>
      </c>
      <c r="L52" s="6" t="n">
        <v>2</v>
      </c>
      <c r="M52" s="6" t="s">
        <v>438</v>
      </c>
      <c r="N52" s="6" t="s">
        <v>439</v>
      </c>
      <c r="O52" s="8" t="b">
        <f aca="false">TRUE()</f>
        <v>1</v>
      </c>
      <c r="P52" s="6" t="s">
        <v>440</v>
      </c>
      <c r="Q52" s="6" t="s">
        <v>264</v>
      </c>
      <c r="R52" s="6" t="s">
        <v>264</v>
      </c>
      <c r="S52" s="10" t="b">
        <f aca="false">TRUE()</f>
        <v>1</v>
      </c>
      <c r="T52" s="6" t="s">
        <v>441</v>
      </c>
      <c r="U52" s="6" t="s">
        <v>108</v>
      </c>
      <c r="V52" s="6" t="s">
        <v>442</v>
      </c>
      <c r="W52" s="6" t="s">
        <v>92</v>
      </c>
    </row>
    <row r="53" customFormat="false" ht="15" hidden="false" customHeight="false" outlineLevel="0" collapsed="false">
      <c r="A53" s="6" t="s">
        <v>443</v>
      </c>
      <c r="B53" s="6" t="s">
        <v>444</v>
      </c>
      <c r="C53" s="6" t="s">
        <v>445</v>
      </c>
      <c r="D53" s="6" t="s">
        <v>39</v>
      </c>
      <c r="E53" s="6" t="s">
        <v>40</v>
      </c>
      <c r="F53" s="6"/>
      <c r="G53" s="6"/>
      <c r="H53" s="6" t="s">
        <v>156</v>
      </c>
      <c r="I53" s="7" t="n">
        <v>1999</v>
      </c>
      <c r="J53" s="7" t="n">
        <v>3999</v>
      </c>
      <c r="K53" s="6" t="n">
        <v>0</v>
      </c>
      <c r="L53" s="6" t="n">
        <v>3</v>
      </c>
      <c r="M53" s="6" t="s">
        <v>223</v>
      </c>
      <c r="N53" s="6" t="s">
        <v>446</v>
      </c>
      <c r="O53" s="8" t="b">
        <f aca="false">TRUE()</f>
        <v>1</v>
      </c>
      <c r="P53" s="6" t="s">
        <v>447</v>
      </c>
      <c r="Q53" s="6" t="s">
        <v>264</v>
      </c>
      <c r="R53" s="6" t="s">
        <v>264</v>
      </c>
      <c r="S53" s="10" t="b">
        <f aca="false">TRUE()</f>
        <v>1</v>
      </c>
      <c r="T53" s="6" t="s">
        <v>448</v>
      </c>
      <c r="U53" s="6" t="s">
        <v>108</v>
      </c>
      <c r="V53" s="6" t="s">
        <v>449</v>
      </c>
      <c r="W53" s="6" t="s">
        <v>92</v>
      </c>
    </row>
    <row r="54" customFormat="false" ht="15" hidden="false" customHeight="false" outlineLevel="0" collapsed="false">
      <c r="A54" s="6" t="s">
        <v>450</v>
      </c>
      <c r="B54" s="6" t="s">
        <v>451</v>
      </c>
      <c r="C54" s="6" t="s">
        <v>452</v>
      </c>
      <c r="D54" s="6" t="s">
        <v>39</v>
      </c>
      <c r="E54" s="6" t="s">
        <v>40</v>
      </c>
      <c r="F54" s="6"/>
      <c r="G54" s="6"/>
      <c r="H54" s="6" t="s">
        <v>453</v>
      </c>
      <c r="I54" s="7" t="n">
        <v>5600</v>
      </c>
      <c r="J54" s="7" t="n">
        <v>5600</v>
      </c>
      <c r="K54" s="6" t="n">
        <v>0</v>
      </c>
      <c r="L54" s="6" t="n">
        <v>1</v>
      </c>
      <c r="M54" s="6" t="s">
        <v>454</v>
      </c>
      <c r="N54" s="6" t="s">
        <v>455</v>
      </c>
      <c r="O54" s="8" t="b">
        <f aca="false">TRUE()</f>
        <v>1</v>
      </c>
      <c r="P54" s="6" t="s">
        <v>456</v>
      </c>
      <c r="Q54" s="6" t="s">
        <v>264</v>
      </c>
      <c r="R54" s="6" t="s">
        <v>264</v>
      </c>
      <c r="S54" s="10" t="b">
        <f aca="false">TRUE()</f>
        <v>1</v>
      </c>
      <c r="T54" s="6" t="s">
        <v>457</v>
      </c>
      <c r="U54" s="6" t="s">
        <v>108</v>
      </c>
      <c r="V54" s="6" t="s">
        <v>458</v>
      </c>
      <c r="W54" s="6" t="s">
        <v>92</v>
      </c>
    </row>
    <row r="55" customFormat="false" ht="15" hidden="false" customHeight="false" outlineLevel="0" collapsed="false">
      <c r="A55" s="6" t="s">
        <v>459</v>
      </c>
      <c r="B55" s="6" t="s">
        <v>460</v>
      </c>
      <c r="C55" s="6" t="s">
        <v>461</v>
      </c>
      <c r="D55" s="6" t="s">
        <v>39</v>
      </c>
      <c r="E55" s="6" t="s">
        <v>40</v>
      </c>
      <c r="F55" s="6"/>
      <c r="G55" s="6"/>
      <c r="H55" s="6" t="s">
        <v>113</v>
      </c>
      <c r="I55" s="7" t="n">
        <v>1499</v>
      </c>
      <c r="J55" s="7" t="n">
        <v>2999</v>
      </c>
      <c r="K55" s="6" t="n">
        <v>0</v>
      </c>
      <c r="L55" s="6" t="n">
        <v>3</v>
      </c>
      <c r="M55" s="6" t="s">
        <v>270</v>
      </c>
      <c r="N55" s="6" t="s">
        <v>462</v>
      </c>
      <c r="O55" s="8" t="b">
        <f aca="false">TRUE()</f>
        <v>1</v>
      </c>
      <c r="P55" s="6" t="s">
        <v>463</v>
      </c>
      <c r="Q55" s="6" t="s">
        <v>264</v>
      </c>
      <c r="R55" s="6" t="s">
        <v>264</v>
      </c>
      <c r="S55" s="10" t="b">
        <f aca="false">TRUE()</f>
        <v>1</v>
      </c>
      <c r="T55" s="6" t="s">
        <v>464</v>
      </c>
      <c r="U55" s="6" t="s">
        <v>108</v>
      </c>
      <c r="V55" s="6" t="s">
        <v>465</v>
      </c>
      <c r="W55" s="6" t="s">
        <v>358</v>
      </c>
    </row>
    <row r="56" customFormat="false" ht="15" hidden="false" customHeight="false" outlineLevel="0" collapsed="false">
      <c r="A56" s="6" t="s">
        <v>466</v>
      </c>
      <c r="B56" s="6" t="s">
        <v>467</v>
      </c>
      <c r="C56" s="6" t="s">
        <v>468</v>
      </c>
      <c r="D56" s="6" t="s">
        <v>39</v>
      </c>
      <c r="E56" s="6" t="s">
        <v>40</v>
      </c>
      <c r="F56" s="6"/>
      <c r="G56" s="6"/>
      <c r="H56" s="6" t="s">
        <v>113</v>
      </c>
      <c r="I56" s="7" t="n">
        <v>1999</v>
      </c>
      <c r="J56" s="7" t="n">
        <v>3999</v>
      </c>
      <c r="K56" s="6" t="n">
        <v>0</v>
      </c>
      <c r="L56" s="6" t="n">
        <v>3</v>
      </c>
      <c r="M56" s="6" t="s">
        <v>223</v>
      </c>
      <c r="N56" s="6" t="s">
        <v>469</v>
      </c>
      <c r="O56" s="8" t="b">
        <f aca="false">TRUE()</f>
        <v>1</v>
      </c>
      <c r="P56" s="6" t="s">
        <v>470</v>
      </c>
      <c r="Q56" s="6" t="s">
        <v>264</v>
      </c>
      <c r="R56" s="6" t="s">
        <v>264</v>
      </c>
      <c r="S56" s="10" t="b">
        <f aca="false">TRUE()</f>
        <v>1</v>
      </c>
      <c r="T56" s="6" t="s">
        <v>471</v>
      </c>
      <c r="U56" s="6" t="s">
        <v>108</v>
      </c>
      <c r="V56" s="6" t="s">
        <v>472</v>
      </c>
      <c r="W56" s="6" t="s">
        <v>92</v>
      </c>
    </row>
    <row r="57" customFormat="false" ht="15" hidden="false" customHeight="false" outlineLevel="0" collapsed="false">
      <c r="A57" s="6" t="s">
        <v>473</v>
      </c>
      <c r="B57" s="6" t="s">
        <v>474</v>
      </c>
      <c r="C57" s="6" t="s">
        <v>475</v>
      </c>
      <c r="D57" s="6" t="s">
        <v>39</v>
      </c>
      <c r="E57" s="6" t="s">
        <v>40</v>
      </c>
      <c r="F57" s="6"/>
      <c r="G57" s="6"/>
      <c r="H57" s="6" t="s">
        <v>222</v>
      </c>
      <c r="I57" s="7" t="n">
        <v>1999</v>
      </c>
      <c r="J57" s="7" t="n">
        <v>3999</v>
      </c>
      <c r="K57" s="6" t="n">
        <v>0</v>
      </c>
      <c r="L57" s="6" t="n">
        <v>3</v>
      </c>
      <c r="M57" s="6" t="s">
        <v>353</v>
      </c>
      <c r="N57" s="6" t="s">
        <v>476</v>
      </c>
      <c r="O57" s="8" t="b">
        <f aca="false">TRUE()</f>
        <v>1</v>
      </c>
      <c r="P57" s="6" t="s">
        <v>477</v>
      </c>
      <c r="Q57" s="6" t="s">
        <v>264</v>
      </c>
      <c r="R57" s="6" t="s">
        <v>264</v>
      </c>
      <c r="S57" s="10" t="b">
        <f aca="false">TRUE()</f>
        <v>1</v>
      </c>
      <c r="T57" s="6" t="s">
        <v>478</v>
      </c>
      <c r="U57" s="6" t="s">
        <v>108</v>
      </c>
      <c r="V57" s="6" t="s">
        <v>479</v>
      </c>
      <c r="W57" s="6" t="s">
        <v>92</v>
      </c>
    </row>
    <row r="58" customFormat="false" ht="15" hidden="false" customHeight="false" outlineLevel="0" collapsed="false">
      <c r="A58" s="6" t="s">
        <v>480</v>
      </c>
      <c r="B58" s="6" t="s">
        <v>481</v>
      </c>
      <c r="C58" s="6" t="s">
        <v>482</v>
      </c>
      <c r="D58" s="6" t="s">
        <v>39</v>
      </c>
      <c r="E58" s="6" t="s">
        <v>40</v>
      </c>
      <c r="F58" s="6"/>
      <c r="G58" s="6"/>
      <c r="H58" s="6" t="s">
        <v>113</v>
      </c>
      <c r="I58" s="7" t="n">
        <v>2999</v>
      </c>
      <c r="J58" s="7" t="n">
        <v>3999</v>
      </c>
      <c r="K58" s="6" t="n">
        <v>0</v>
      </c>
      <c r="L58" s="6" t="n">
        <v>2</v>
      </c>
      <c r="M58" s="6" t="s">
        <v>483</v>
      </c>
      <c r="N58" s="6" t="s">
        <v>484</v>
      </c>
      <c r="O58" s="8" t="b">
        <f aca="false">TRUE()</f>
        <v>1</v>
      </c>
      <c r="P58" s="6" t="s">
        <v>485</v>
      </c>
      <c r="Q58" s="6" t="s">
        <v>264</v>
      </c>
      <c r="R58" s="6" t="s">
        <v>264</v>
      </c>
      <c r="S58" s="10" t="b">
        <f aca="false">TRUE()</f>
        <v>1</v>
      </c>
      <c r="T58" s="6" t="s">
        <v>486</v>
      </c>
      <c r="U58" s="6" t="s">
        <v>108</v>
      </c>
      <c r="V58" s="6" t="s">
        <v>487</v>
      </c>
      <c r="W58" s="6" t="s">
        <v>92</v>
      </c>
    </row>
    <row r="59" customFormat="false" ht="15" hidden="false" customHeight="false" outlineLevel="0" collapsed="false">
      <c r="A59" s="6" t="s">
        <v>488</v>
      </c>
      <c r="B59" s="6" t="s">
        <v>489</v>
      </c>
      <c r="C59" s="6" t="s">
        <v>490</v>
      </c>
      <c r="D59" s="6" t="s">
        <v>39</v>
      </c>
      <c r="E59" s="6" t="s">
        <v>40</v>
      </c>
      <c r="F59" s="6"/>
      <c r="G59" s="6"/>
      <c r="H59" s="6" t="s">
        <v>113</v>
      </c>
      <c r="I59" s="7" t="n">
        <v>1999</v>
      </c>
      <c r="J59" s="7" t="n">
        <v>3999</v>
      </c>
      <c r="K59" s="6" t="n">
        <v>0</v>
      </c>
      <c r="L59" s="6" t="n">
        <v>3</v>
      </c>
      <c r="M59" s="6" t="s">
        <v>223</v>
      </c>
      <c r="N59" s="6" t="s">
        <v>491</v>
      </c>
      <c r="O59" s="8" t="b">
        <f aca="false">TRUE()</f>
        <v>1</v>
      </c>
      <c r="P59" s="6" t="s">
        <v>492</v>
      </c>
      <c r="Q59" s="6" t="s">
        <v>264</v>
      </c>
      <c r="R59" s="6" t="s">
        <v>264</v>
      </c>
      <c r="S59" s="10" t="b">
        <f aca="false">TRUE()</f>
        <v>1</v>
      </c>
      <c r="T59" s="6" t="s">
        <v>493</v>
      </c>
      <c r="U59" s="6" t="s">
        <v>108</v>
      </c>
      <c r="V59" s="6" t="s">
        <v>494</v>
      </c>
      <c r="W59" s="6" t="s">
        <v>92</v>
      </c>
    </row>
    <row r="60" customFormat="false" ht="15" hidden="false" customHeight="false" outlineLevel="0" collapsed="false">
      <c r="A60" s="6" t="s">
        <v>495</v>
      </c>
      <c r="B60" s="6" t="s">
        <v>496</v>
      </c>
      <c r="C60" s="6" t="s">
        <v>497</v>
      </c>
      <c r="D60" s="6" t="s">
        <v>39</v>
      </c>
      <c r="E60" s="6" t="s">
        <v>40</v>
      </c>
      <c r="F60" s="6"/>
      <c r="G60" s="6"/>
      <c r="H60" s="6" t="s">
        <v>156</v>
      </c>
      <c r="I60" s="7" t="n">
        <v>1999</v>
      </c>
      <c r="J60" s="7" t="n">
        <v>3999</v>
      </c>
      <c r="K60" s="6" t="n">
        <v>0</v>
      </c>
      <c r="L60" s="6" t="n">
        <v>3</v>
      </c>
      <c r="M60" s="6" t="s">
        <v>114</v>
      </c>
      <c r="N60" s="6" t="s">
        <v>498</v>
      </c>
      <c r="O60" s="8" t="b">
        <f aca="false">TRUE()</f>
        <v>1</v>
      </c>
      <c r="P60" s="6" t="s">
        <v>499</v>
      </c>
      <c r="Q60" s="6" t="s">
        <v>264</v>
      </c>
      <c r="R60" s="6" t="s">
        <v>264</v>
      </c>
      <c r="S60" s="10" t="b">
        <f aca="false">TRUE()</f>
        <v>1</v>
      </c>
      <c r="T60" s="6" t="s">
        <v>500</v>
      </c>
      <c r="U60" s="6" t="s">
        <v>108</v>
      </c>
      <c r="V60" s="6" t="s">
        <v>501</v>
      </c>
      <c r="W60" s="6" t="s">
        <v>92</v>
      </c>
    </row>
    <row r="61" customFormat="false" ht="15" hidden="false" customHeight="false" outlineLevel="0" collapsed="false">
      <c r="A61" s="6" t="s">
        <v>502</v>
      </c>
      <c r="B61" s="6" t="s">
        <v>503</v>
      </c>
      <c r="C61" s="6" t="s">
        <v>504</v>
      </c>
      <c r="D61" s="6" t="s">
        <v>39</v>
      </c>
      <c r="E61" s="6" t="s">
        <v>40</v>
      </c>
      <c r="F61" s="6"/>
      <c r="G61" s="6"/>
      <c r="H61" s="6" t="s">
        <v>317</v>
      </c>
      <c r="I61" s="7" t="n">
        <v>4999</v>
      </c>
      <c r="J61" s="7" t="n">
        <v>7999</v>
      </c>
      <c r="K61" s="6" t="n">
        <v>0</v>
      </c>
      <c r="L61" s="6" t="n">
        <v>3</v>
      </c>
      <c r="M61" s="6" t="s">
        <v>505</v>
      </c>
      <c r="N61" s="6" t="s">
        <v>506</v>
      </c>
      <c r="O61" s="8" t="b">
        <f aca="false">TRUE()</f>
        <v>1</v>
      </c>
      <c r="P61" s="6" t="s">
        <v>507</v>
      </c>
      <c r="Q61" s="6" t="s">
        <v>264</v>
      </c>
      <c r="R61" s="6" t="s">
        <v>264</v>
      </c>
      <c r="S61" s="10" t="b">
        <f aca="false">TRUE()</f>
        <v>1</v>
      </c>
      <c r="T61" s="6" t="s">
        <v>508</v>
      </c>
      <c r="U61" s="6" t="s">
        <v>108</v>
      </c>
      <c r="V61" s="6" t="s">
        <v>509</v>
      </c>
      <c r="W61" s="6" t="s">
        <v>92</v>
      </c>
    </row>
    <row r="62" customFormat="false" ht="15" hidden="false" customHeight="false" outlineLevel="0" collapsed="false">
      <c r="A62" s="6" t="s">
        <v>510</v>
      </c>
      <c r="B62" s="6" t="s">
        <v>511</v>
      </c>
      <c r="C62" s="6" t="s">
        <v>512</v>
      </c>
      <c r="D62" s="6" t="s">
        <v>39</v>
      </c>
      <c r="E62" s="6" t="s">
        <v>40</v>
      </c>
      <c r="F62" s="6"/>
      <c r="G62" s="6"/>
      <c r="H62" s="6" t="s">
        <v>113</v>
      </c>
      <c r="I62" s="7" t="n">
        <v>1999</v>
      </c>
      <c r="J62" s="7" t="n">
        <v>3999</v>
      </c>
      <c r="K62" s="6" t="n">
        <v>0</v>
      </c>
      <c r="L62" s="6" t="n">
        <v>3</v>
      </c>
      <c r="M62" s="6" t="s">
        <v>223</v>
      </c>
      <c r="N62" s="6" t="s">
        <v>513</v>
      </c>
      <c r="O62" s="8" t="b">
        <f aca="false">TRUE()</f>
        <v>1</v>
      </c>
      <c r="P62" s="6" t="s">
        <v>514</v>
      </c>
      <c r="Q62" s="6" t="s">
        <v>264</v>
      </c>
      <c r="R62" s="6" t="s">
        <v>264</v>
      </c>
      <c r="S62" s="10" t="b">
        <f aca="false">TRUE()</f>
        <v>1</v>
      </c>
      <c r="T62" s="6" t="s">
        <v>515</v>
      </c>
      <c r="U62" s="6" t="s">
        <v>108</v>
      </c>
      <c r="V62" s="6" t="s">
        <v>516</v>
      </c>
      <c r="W62" s="6" t="s">
        <v>92</v>
      </c>
    </row>
    <row r="63" customFormat="false" ht="15" hidden="false" customHeight="false" outlineLevel="0" collapsed="false">
      <c r="A63" s="6" t="s">
        <v>517</v>
      </c>
      <c r="B63" s="6" t="s">
        <v>518</v>
      </c>
      <c r="C63" s="6" t="s">
        <v>519</v>
      </c>
      <c r="D63" s="6" t="s">
        <v>39</v>
      </c>
      <c r="E63" s="6" t="s">
        <v>40</v>
      </c>
      <c r="F63" s="6"/>
      <c r="G63" s="6"/>
      <c r="H63" s="6" t="s">
        <v>113</v>
      </c>
      <c r="I63" s="7" t="n">
        <v>5000</v>
      </c>
      <c r="J63" s="7" t="n">
        <v>5600</v>
      </c>
      <c r="K63" s="6" t="n">
        <v>0</v>
      </c>
      <c r="L63" s="6" t="n">
        <v>2</v>
      </c>
      <c r="M63" s="6" t="s">
        <v>157</v>
      </c>
      <c r="N63" s="6" t="s">
        <v>520</v>
      </c>
      <c r="O63" s="8" t="b">
        <f aca="false">TRUE()</f>
        <v>1</v>
      </c>
      <c r="P63" s="6" t="s">
        <v>521</v>
      </c>
      <c r="Q63" s="6" t="s">
        <v>264</v>
      </c>
      <c r="R63" s="6" t="s">
        <v>264</v>
      </c>
      <c r="S63" s="10" t="b">
        <f aca="false">TRUE()</f>
        <v>1</v>
      </c>
      <c r="T63" s="6" t="s">
        <v>522</v>
      </c>
      <c r="U63" s="6" t="s">
        <v>108</v>
      </c>
      <c r="V63" s="6" t="s">
        <v>523</v>
      </c>
      <c r="W63" s="6" t="s">
        <v>92</v>
      </c>
    </row>
    <row r="64" customFormat="false" ht="15" hidden="false" customHeight="false" outlineLevel="0" collapsed="false">
      <c r="A64" s="6" t="s">
        <v>524</v>
      </c>
      <c r="B64" s="6" t="s">
        <v>525</v>
      </c>
      <c r="C64" s="6" t="s">
        <v>526</v>
      </c>
      <c r="D64" s="6" t="s">
        <v>39</v>
      </c>
      <c r="E64" s="6" t="s">
        <v>40</v>
      </c>
      <c r="F64" s="6"/>
      <c r="G64" s="6"/>
      <c r="H64" s="6" t="s">
        <v>113</v>
      </c>
      <c r="I64" s="7" t="n">
        <v>5000</v>
      </c>
      <c r="J64" s="7" t="n">
        <v>5600</v>
      </c>
      <c r="K64" s="6" t="n">
        <v>0</v>
      </c>
      <c r="L64" s="6" t="n">
        <v>2</v>
      </c>
      <c r="M64" s="6" t="s">
        <v>157</v>
      </c>
      <c r="N64" s="6" t="s">
        <v>527</v>
      </c>
      <c r="O64" s="8" t="b">
        <f aca="false">TRUE()</f>
        <v>1</v>
      </c>
      <c r="P64" s="6" t="s">
        <v>528</v>
      </c>
      <c r="Q64" s="6" t="s">
        <v>264</v>
      </c>
      <c r="R64" s="6" t="s">
        <v>264</v>
      </c>
      <c r="S64" s="10" t="b">
        <f aca="false">TRUE()</f>
        <v>1</v>
      </c>
      <c r="T64" s="6" t="s">
        <v>529</v>
      </c>
      <c r="U64" s="6" t="s">
        <v>108</v>
      </c>
      <c r="V64" s="6" t="s">
        <v>530</v>
      </c>
      <c r="W64" s="6" t="s">
        <v>92</v>
      </c>
    </row>
    <row r="65" customFormat="false" ht="15" hidden="false" customHeight="false" outlineLevel="0" collapsed="false">
      <c r="A65" s="6" t="s">
        <v>531</v>
      </c>
      <c r="B65" s="6" t="s">
        <v>532</v>
      </c>
      <c r="C65" s="6" t="s">
        <v>533</v>
      </c>
      <c r="D65" s="6" t="s">
        <v>39</v>
      </c>
      <c r="E65" s="6" t="s">
        <v>40</v>
      </c>
      <c r="F65" s="6"/>
      <c r="G65" s="6"/>
      <c r="H65" s="6" t="s">
        <v>534</v>
      </c>
      <c r="I65" s="7" t="n">
        <v>4999</v>
      </c>
      <c r="J65" s="7" t="n">
        <v>5499</v>
      </c>
      <c r="K65" s="6" t="n">
        <v>0</v>
      </c>
      <c r="L65" s="6" t="n">
        <v>2</v>
      </c>
      <c r="M65" s="6" t="s">
        <v>535</v>
      </c>
      <c r="N65" s="6" t="s">
        <v>536</v>
      </c>
      <c r="O65" s="8" t="b">
        <f aca="false">TRUE()</f>
        <v>1</v>
      </c>
      <c r="P65" s="6" t="s">
        <v>537</v>
      </c>
      <c r="Q65" s="6" t="s">
        <v>264</v>
      </c>
      <c r="R65" s="6" t="s">
        <v>264</v>
      </c>
      <c r="S65" s="9" t="b">
        <f aca="false">FALSE()</f>
        <v>0</v>
      </c>
      <c r="T65" s="6"/>
      <c r="U65" s="6"/>
      <c r="V65" s="6"/>
      <c r="W65" s="6"/>
    </row>
    <row r="66" customFormat="false" ht="15" hidden="false" customHeight="false" outlineLevel="0" collapsed="false">
      <c r="A66" s="6" t="s">
        <v>538</v>
      </c>
      <c r="B66" s="6" t="s">
        <v>539</v>
      </c>
      <c r="C66" s="6" t="s">
        <v>540</v>
      </c>
      <c r="D66" s="6" t="s">
        <v>39</v>
      </c>
      <c r="E66" s="6" t="s">
        <v>40</v>
      </c>
      <c r="F66" s="6"/>
      <c r="G66" s="6"/>
      <c r="H66" s="6" t="s">
        <v>113</v>
      </c>
      <c r="I66" s="7" t="n">
        <v>5000</v>
      </c>
      <c r="J66" s="7" t="n">
        <v>5600</v>
      </c>
      <c r="K66" s="6" t="n">
        <v>0</v>
      </c>
      <c r="L66" s="6" t="n">
        <v>2</v>
      </c>
      <c r="M66" s="6" t="s">
        <v>157</v>
      </c>
      <c r="N66" s="6" t="s">
        <v>541</v>
      </c>
      <c r="O66" s="8" t="b">
        <f aca="false">TRUE()</f>
        <v>1</v>
      </c>
      <c r="P66" s="6" t="s">
        <v>542</v>
      </c>
      <c r="Q66" s="6" t="s">
        <v>264</v>
      </c>
      <c r="R66" s="6" t="s">
        <v>264</v>
      </c>
      <c r="S66" s="10" t="b">
        <f aca="false">TRUE()</f>
        <v>1</v>
      </c>
      <c r="T66" s="6" t="s">
        <v>543</v>
      </c>
      <c r="U66" s="6" t="s">
        <v>108</v>
      </c>
      <c r="V66" s="6" t="s">
        <v>544</v>
      </c>
      <c r="W66" s="6" t="s">
        <v>92</v>
      </c>
    </row>
    <row r="67" customFormat="false" ht="15" hidden="false" customHeight="false" outlineLevel="0" collapsed="false">
      <c r="A67" s="6" t="s">
        <v>545</v>
      </c>
      <c r="B67" s="6" t="s">
        <v>546</v>
      </c>
      <c r="C67" s="6" t="s">
        <v>547</v>
      </c>
      <c r="D67" s="6" t="s">
        <v>39</v>
      </c>
      <c r="E67" s="6" t="s">
        <v>40</v>
      </c>
      <c r="F67" s="6"/>
      <c r="G67" s="6"/>
      <c r="H67" s="6" t="s">
        <v>113</v>
      </c>
      <c r="I67" s="7" t="n">
        <v>2499</v>
      </c>
      <c r="J67" s="7" t="n">
        <v>5600</v>
      </c>
      <c r="K67" s="6" t="n">
        <v>0</v>
      </c>
      <c r="L67" s="6" t="n">
        <v>2</v>
      </c>
      <c r="M67" s="6" t="s">
        <v>199</v>
      </c>
      <c r="N67" s="6" t="s">
        <v>548</v>
      </c>
      <c r="O67" s="8" t="b">
        <f aca="false">TRUE()</f>
        <v>1</v>
      </c>
      <c r="P67" s="6" t="s">
        <v>549</v>
      </c>
      <c r="Q67" s="6" t="s">
        <v>264</v>
      </c>
      <c r="R67" s="6" t="s">
        <v>264</v>
      </c>
      <c r="S67" s="10" t="b">
        <f aca="false">TRUE()</f>
        <v>1</v>
      </c>
      <c r="T67" s="6" t="s">
        <v>550</v>
      </c>
      <c r="U67" s="6" t="s">
        <v>108</v>
      </c>
      <c r="V67" s="6" t="s">
        <v>551</v>
      </c>
      <c r="W67" s="6" t="s">
        <v>92</v>
      </c>
    </row>
    <row r="68" customFormat="false" ht="15" hidden="false" customHeight="false" outlineLevel="0" collapsed="false">
      <c r="A68" s="6" t="s">
        <v>552</v>
      </c>
      <c r="B68" s="6" t="s">
        <v>553</v>
      </c>
      <c r="C68" s="6" t="s">
        <v>554</v>
      </c>
      <c r="D68" s="6" t="s">
        <v>39</v>
      </c>
      <c r="E68" s="6" t="s">
        <v>40</v>
      </c>
      <c r="F68" s="6"/>
      <c r="G68" s="6"/>
      <c r="H68" s="6" t="s">
        <v>113</v>
      </c>
      <c r="I68" s="7" t="n">
        <v>5000</v>
      </c>
      <c r="J68" s="7" t="n">
        <v>5600</v>
      </c>
      <c r="K68" s="6" t="n">
        <v>0</v>
      </c>
      <c r="L68" s="6" t="n">
        <v>2</v>
      </c>
      <c r="M68" s="6" t="s">
        <v>157</v>
      </c>
      <c r="N68" s="6" t="s">
        <v>555</v>
      </c>
      <c r="O68" s="8" t="b">
        <f aca="false">TRUE()</f>
        <v>1</v>
      </c>
      <c r="P68" s="6" t="s">
        <v>556</v>
      </c>
      <c r="Q68" s="6" t="s">
        <v>264</v>
      </c>
      <c r="R68" s="6" t="s">
        <v>264</v>
      </c>
      <c r="S68" s="10" t="b">
        <f aca="false">TRUE()</f>
        <v>1</v>
      </c>
      <c r="T68" s="6" t="s">
        <v>557</v>
      </c>
      <c r="U68" s="6" t="s">
        <v>108</v>
      </c>
      <c r="V68" s="6" t="s">
        <v>558</v>
      </c>
      <c r="W68" s="6" t="s">
        <v>92</v>
      </c>
    </row>
    <row r="69" customFormat="false" ht="15" hidden="false" customHeight="false" outlineLevel="0" collapsed="false">
      <c r="A69" s="6" t="s">
        <v>559</v>
      </c>
      <c r="B69" s="6" t="s">
        <v>560</v>
      </c>
      <c r="C69" s="6" t="s">
        <v>561</v>
      </c>
      <c r="D69" s="6" t="s">
        <v>39</v>
      </c>
      <c r="E69" s="6" t="s">
        <v>40</v>
      </c>
      <c r="F69" s="6"/>
      <c r="G69" s="6"/>
      <c r="H69" s="6" t="s">
        <v>562</v>
      </c>
      <c r="I69" s="7" t="n">
        <v>8999</v>
      </c>
      <c r="J69" s="7" t="n">
        <v>11999</v>
      </c>
      <c r="K69" s="6" t="n">
        <v>0</v>
      </c>
      <c r="L69" s="6" t="n">
        <v>2</v>
      </c>
      <c r="M69" s="6" t="s">
        <v>563</v>
      </c>
      <c r="N69" s="6" t="s">
        <v>564</v>
      </c>
      <c r="O69" s="8" t="b">
        <f aca="false">TRUE()</f>
        <v>1</v>
      </c>
      <c r="P69" s="6" t="s">
        <v>565</v>
      </c>
      <c r="Q69" s="6" t="s">
        <v>264</v>
      </c>
      <c r="R69" s="6" t="s">
        <v>264</v>
      </c>
      <c r="S69" s="10" t="b">
        <f aca="false">TRUE()</f>
        <v>1</v>
      </c>
      <c r="T69" s="6" t="s">
        <v>566</v>
      </c>
      <c r="U69" s="6" t="s">
        <v>108</v>
      </c>
      <c r="V69" s="6" t="s">
        <v>567</v>
      </c>
      <c r="W69" s="6" t="s">
        <v>75</v>
      </c>
    </row>
    <row r="70" customFormat="false" ht="15" hidden="false" customHeight="false" outlineLevel="0" collapsed="false">
      <c r="A70" s="6" t="s">
        <v>568</v>
      </c>
      <c r="B70" s="6" t="s">
        <v>569</v>
      </c>
      <c r="C70" s="6" t="s">
        <v>570</v>
      </c>
      <c r="D70" s="6" t="s">
        <v>39</v>
      </c>
      <c r="E70" s="6" t="s">
        <v>40</v>
      </c>
      <c r="F70" s="6"/>
      <c r="G70" s="6"/>
      <c r="H70" s="6" t="s">
        <v>222</v>
      </c>
      <c r="I70" s="7" t="n">
        <v>5000</v>
      </c>
      <c r="J70" s="7" t="n">
        <v>5600</v>
      </c>
      <c r="K70" s="6" t="n">
        <v>0</v>
      </c>
      <c r="L70" s="6" t="n">
        <v>2</v>
      </c>
      <c r="M70" s="6" t="s">
        <v>571</v>
      </c>
      <c r="N70" s="6" t="s">
        <v>572</v>
      </c>
      <c r="O70" s="8" t="b">
        <f aca="false">TRUE()</f>
        <v>1</v>
      </c>
      <c r="P70" s="6" t="s">
        <v>573</v>
      </c>
      <c r="Q70" s="6" t="s">
        <v>264</v>
      </c>
      <c r="R70" s="6" t="s">
        <v>264</v>
      </c>
      <c r="S70" s="10" t="b">
        <f aca="false">TRUE()</f>
        <v>1</v>
      </c>
      <c r="T70" s="6" t="s">
        <v>574</v>
      </c>
      <c r="U70" s="6" t="s">
        <v>108</v>
      </c>
      <c r="V70" s="6" t="s">
        <v>575</v>
      </c>
      <c r="W70" s="6" t="s">
        <v>92</v>
      </c>
    </row>
    <row r="71" customFormat="false" ht="15" hidden="false" customHeight="false" outlineLevel="0" collapsed="false">
      <c r="A71" s="6" t="s">
        <v>576</v>
      </c>
      <c r="B71" s="6" t="s">
        <v>577</v>
      </c>
      <c r="C71" s="6" t="s">
        <v>578</v>
      </c>
      <c r="D71" s="6" t="s">
        <v>39</v>
      </c>
      <c r="E71" s="6" t="s">
        <v>40</v>
      </c>
      <c r="F71" s="6"/>
      <c r="G71" s="6"/>
      <c r="H71" s="6" t="s">
        <v>103</v>
      </c>
      <c r="I71" s="7" t="n">
        <v>4200</v>
      </c>
      <c r="J71" s="7" t="n">
        <v>5600</v>
      </c>
      <c r="K71" s="6" t="n">
        <v>0</v>
      </c>
      <c r="L71" s="6" t="n">
        <v>3</v>
      </c>
      <c r="M71" s="6" t="s">
        <v>579</v>
      </c>
      <c r="N71" s="6" t="s">
        <v>580</v>
      </c>
      <c r="O71" s="8" t="b">
        <f aca="false">TRUE()</f>
        <v>1</v>
      </c>
      <c r="P71" s="6" t="s">
        <v>581</v>
      </c>
      <c r="Q71" s="6" t="s">
        <v>264</v>
      </c>
      <c r="R71" s="6" t="s">
        <v>264</v>
      </c>
      <c r="S71" s="10" t="b">
        <f aca="false">TRUE()</f>
        <v>1</v>
      </c>
      <c r="T71" s="6" t="s">
        <v>582</v>
      </c>
      <c r="U71" s="6" t="s">
        <v>108</v>
      </c>
      <c r="V71" s="6" t="s">
        <v>583</v>
      </c>
      <c r="W71" s="6" t="s">
        <v>92</v>
      </c>
    </row>
    <row r="72" customFormat="false" ht="15" hidden="false" customHeight="false" outlineLevel="0" collapsed="false">
      <c r="A72" s="6" t="s">
        <v>584</v>
      </c>
      <c r="B72" s="6" t="s">
        <v>585</v>
      </c>
      <c r="C72" s="6" t="s">
        <v>586</v>
      </c>
      <c r="D72" s="6" t="s">
        <v>39</v>
      </c>
      <c r="E72" s="6" t="s">
        <v>40</v>
      </c>
      <c r="F72" s="6"/>
      <c r="G72" s="6"/>
      <c r="H72" s="6" t="s">
        <v>534</v>
      </c>
      <c r="I72" s="7" t="n">
        <v>1999</v>
      </c>
      <c r="J72" s="7" t="n">
        <v>3999</v>
      </c>
      <c r="K72" s="6" t="n">
        <v>0</v>
      </c>
      <c r="L72" s="6" t="n">
        <v>3</v>
      </c>
      <c r="M72" s="6" t="s">
        <v>223</v>
      </c>
      <c r="N72" s="6" t="s">
        <v>587</v>
      </c>
      <c r="O72" s="8" t="b">
        <f aca="false">TRUE()</f>
        <v>1</v>
      </c>
      <c r="P72" s="6" t="s">
        <v>588</v>
      </c>
      <c r="Q72" s="6" t="s">
        <v>264</v>
      </c>
      <c r="R72" s="6" t="s">
        <v>264</v>
      </c>
      <c r="S72" s="10" t="b">
        <f aca="false">TRUE()</f>
        <v>1</v>
      </c>
      <c r="T72" s="6" t="s">
        <v>589</v>
      </c>
      <c r="U72" s="6" t="s">
        <v>108</v>
      </c>
      <c r="V72" s="6" t="s">
        <v>590</v>
      </c>
      <c r="W72" s="6" t="s">
        <v>92</v>
      </c>
    </row>
    <row r="73" customFormat="false" ht="15" hidden="false" customHeight="false" outlineLevel="0" collapsed="false">
      <c r="A73" s="6" t="s">
        <v>591</v>
      </c>
      <c r="B73" s="6" t="s">
        <v>592</v>
      </c>
      <c r="C73" s="6" t="s">
        <v>593</v>
      </c>
      <c r="D73" s="6" t="s">
        <v>39</v>
      </c>
      <c r="E73" s="6" t="s">
        <v>40</v>
      </c>
      <c r="F73" s="6"/>
      <c r="G73" s="6"/>
      <c r="H73" s="6" t="s">
        <v>113</v>
      </c>
      <c r="I73" s="7" t="n">
        <v>5000</v>
      </c>
      <c r="J73" s="7" t="n">
        <v>5600</v>
      </c>
      <c r="K73" s="6" t="n">
        <v>0</v>
      </c>
      <c r="L73" s="6" t="n">
        <v>2</v>
      </c>
      <c r="M73" s="6" t="s">
        <v>157</v>
      </c>
      <c r="N73" s="6" t="s">
        <v>594</v>
      </c>
      <c r="O73" s="8" t="b">
        <f aca="false">TRUE()</f>
        <v>1</v>
      </c>
      <c r="P73" s="6" t="s">
        <v>595</v>
      </c>
      <c r="Q73" s="6" t="s">
        <v>264</v>
      </c>
      <c r="R73" s="6" t="s">
        <v>264</v>
      </c>
      <c r="S73" s="10" t="b">
        <f aca="false">TRUE()</f>
        <v>1</v>
      </c>
      <c r="T73" s="6" t="s">
        <v>596</v>
      </c>
      <c r="U73" s="6" t="s">
        <v>108</v>
      </c>
      <c r="V73" s="6" t="s">
        <v>597</v>
      </c>
      <c r="W73" s="6" t="s">
        <v>92</v>
      </c>
    </row>
    <row r="74" customFormat="false" ht="15" hidden="false" customHeight="false" outlineLevel="0" collapsed="false">
      <c r="A74" s="6" t="s">
        <v>598</v>
      </c>
      <c r="B74" s="6" t="s">
        <v>599</v>
      </c>
      <c r="C74" s="6" t="s">
        <v>600</v>
      </c>
      <c r="D74" s="6" t="s">
        <v>39</v>
      </c>
      <c r="E74" s="6" t="s">
        <v>40</v>
      </c>
      <c r="F74" s="6"/>
      <c r="G74" s="6"/>
      <c r="H74" s="6" t="s">
        <v>189</v>
      </c>
      <c r="I74" s="7" t="n">
        <v>5999</v>
      </c>
      <c r="J74" s="7" t="n">
        <v>11999</v>
      </c>
      <c r="K74" s="6" t="n">
        <v>0</v>
      </c>
      <c r="L74" s="6" t="n">
        <v>3</v>
      </c>
      <c r="M74" s="6" t="s">
        <v>601</v>
      </c>
      <c r="N74" s="6" t="s">
        <v>602</v>
      </c>
      <c r="O74" s="8" t="b">
        <f aca="false">TRUE()</f>
        <v>1</v>
      </c>
      <c r="P74" s="6" t="s">
        <v>603</v>
      </c>
      <c r="Q74" s="6" t="s">
        <v>264</v>
      </c>
      <c r="R74" s="6" t="s">
        <v>264</v>
      </c>
      <c r="S74" s="10" t="b">
        <f aca="false">TRUE()</f>
        <v>1</v>
      </c>
      <c r="T74" s="6" t="s">
        <v>604</v>
      </c>
      <c r="U74" s="6" t="s">
        <v>108</v>
      </c>
      <c r="V74" s="6" t="s">
        <v>605</v>
      </c>
      <c r="W74" s="6" t="s">
        <v>92</v>
      </c>
    </row>
    <row r="75" customFormat="false" ht="15" hidden="false" customHeight="false" outlineLevel="0" collapsed="false">
      <c r="A75" s="6" t="s">
        <v>606</v>
      </c>
      <c r="B75" s="6" t="s">
        <v>607</v>
      </c>
      <c r="C75" s="6" t="s">
        <v>608</v>
      </c>
      <c r="D75" s="6" t="s">
        <v>39</v>
      </c>
      <c r="E75" s="6" t="s">
        <v>40</v>
      </c>
      <c r="F75" s="6"/>
      <c r="G75" s="6"/>
      <c r="H75" s="6" t="s">
        <v>113</v>
      </c>
      <c r="I75" s="7" t="n">
        <v>1999</v>
      </c>
      <c r="J75" s="7" t="n">
        <v>3999</v>
      </c>
      <c r="K75" s="6" t="n">
        <v>0</v>
      </c>
      <c r="L75" s="6" t="n">
        <v>3</v>
      </c>
      <c r="M75" s="6" t="s">
        <v>223</v>
      </c>
      <c r="N75" s="6" t="s">
        <v>609</v>
      </c>
      <c r="O75" s="8" t="b">
        <f aca="false">TRUE()</f>
        <v>1</v>
      </c>
      <c r="P75" s="6" t="s">
        <v>610</v>
      </c>
      <c r="Q75" s="6" t="s">
        <v>264</v>
      </c>
      <c r="R75" s="6" t="s">
        <v>264</v>
      </c>
      <c r="S75" s="10" t="b">
        <f aca="false">TRUE()</f>
        <v>1</v>
      </c>
      <c r="T75" s="6" t="s">
        <v>611</v>
      </c>
      <c r="U75" s="6" t="s">
        <v>108</v>
      </c>
      <c r="V75" s="6" t="s">
        <v>612</v>
      </c>
      <c r="W75" s="6" t="s">
        <v>92</v>
      </c>
    </row>
    <row r="76" customFormat="false" ht="15" hidden="false" customHeight="false" outlineLevel="0" collapsed="false">
      <c r="A76" s="6" t="s">
        <v>613</v>
      </c>
      <c r="B76" s="6" t="s">
        <v>614</v>
      </c>
      <c r="C76" s="6" t="s">
        <v>615</v>
      </c>
      <c r="D76" s="6" t="s">
        <v>39</v>
      </c>
      <c r="E76" s="6" t="s">
        <v>40</v>
      </c>
      <c r="F76" s="6"/>
      <c r="G76" s="6"/>
      <c r="H76" s="6" t="s">
        <v>534</v>
      </c>
      <c r="I76" s="7" t="n">
        <v>1999</v>
      </c>
      <c r="J76" s="7" t="n">
        <v>3999</v>
      </c>
      <c r="K76" s="6" t="n">
        <v>0</v>
      </c>
      <c r="L76" s="6" t="n">
        <v>3</v>
      </c>
      <c r="M76" s="6" t="s">
        <v>616</v>
      </c>
      <c r="N76" s="6" t="s">
        <v>617</v>
      </c>
      <c r="O76" s="8" t="b">
        <f aca="false">TRUE()</f>
        <v>1</v>
      </c>
      <c r="P76" s="6" t="s">
        <v>618</v>
      </c>
      <c r="Q76" s="6" t="s">
        <v>264</v>
      </c>
      <c r="R76" s="6" t="s">
        <v>264</v>
      </c>
      <c r="S76" s="10" t="b">
        <f aca="false">TRUE()</f>
        <v>1</v>
      </c>
      <c r="T76" s="6" t="s">
        <v>619</v>
      </c>
      <c r="U76" s="6" t="s">
        <v>108</v>
      </c>
      <c r="V76" s="6" t="s">
        <v>620</v>
      </c>
      <c r="W76" s="6" t="s">
        <v>92</v>
      </c>
    </row>
    <row r="77" customFormat="false" ht="15" hidden="false" customHeight="false" outlineLevel="0" collapsed="false">
      <c r="A77" s="6" t="s">
        <v>621</v>
      </c>
      <c r="B77" s="6" t="s">
        <v>622</v>
      </c>
      <c r="C77" s="6" t="s">
        <v>623</v>
      </c>
      <c r="D77" s="6" t="s">
        <v>39</v>
      </c>
      <c r="E77" s="6" t="s">
        <v>40</v>
      </c>
      <c r="F77" s="6"/>
      <c r="G77" s="6"/>
      <c r="H77" s="6" t="s">
        <v>534</v>
      </c>
      <c r="I77" s="7" t="n">
        <v>2999</v>
      </c>
      <c r="J77" s="7" t="n">
        <v>3999</v>
      </c>
      <c r="K77" s="6" t="n">
        <v>0</v>
      </c>
      <c r="L77" s="6" t="n">
        <v>2</v>
      </c>
      <c r="M77" s="6" t="s">
        <v>420</v>
      </c>
      <c r="N77" s="6" t="s">
        <v>624</v>
      </c>
      <c r="O77" s="8" t="b">
        <f aca="false">TRUE()</f>
        <v>1</v>
      </c>
      <c r="P77" s="6" t="s">
        <v>625</v>
      </c>
      <c r="Q77" s="6" t="s">
        <v>264</v>
      </c>
      <c r="R77" s="6" t="s">
        <v>264</v>
      </c>
      <c r="S77" s="10" t="b">
        <f aca="false">TRUE()</f>
        <v>1</v>
      </c>
      <c r="T77" s="6" t="s">
        <v>626</v>
      </c>
      <c r="U77" s="6" t="s">
        <v>108</v>
      </c>
      <c r="V77" s="6" t="s">
        <v>627</v>
      </c>
      <c r="W77" s="6" t="s">
        <v>92</v>
      </c>
    </row>
    <row r="78" customFormat="false" ht="15" hidden="false" customHeight="false" outlineLevel="0" collapsed="false">
      <c r="A78" s="6" t="s">
        <v>628</v>
      </c>
      <c r="B78" s="6" t="s">
        <v>629</v>
      </c>
      <c r="C78" s="6" t="s">
        <v>630</v>
      </c>
      <c r="D78" s="6" t="s">
        <v>39</v>
      </c>
      <c r="E78" s="6" t="s">
        <v>40</v>
      </c>
      <c r="F78" s="6"/>
      <c r="G78" s="6"/>
      <c r="H78" s="6" t="s">
        <v>113</v>
      </c>
      <c r="I78" s="7" t="n">
        <v>5000</v>
      </c>
      <c r="J78" s="7" t="n">
        <v>5600</v>
      </c>
      <c r="K78" s="6" t="n">
        <v>0</v>
      </c>
      <c r="L78" s="6" t="n">
        <v>2</v>
      </c>
      <c r="M78" s="6" t="s">
        <v>631</v>
      </c>
      <c r="N78" s="6" t="s">
        <v>632</v>
      </c>
      <c r="O78" s="8" t="b">
        <f aca="false">TRUE()</f>
        <v>1</v>
      </c>
      <c r="P78" s="6" t="s">
        <v>633</v>
      </c>
      <c r="Q78" s="6" t="s">
        <v>264</v>
      </c>
      <c r="R78" s="6" t="s">
        <v>264</v>
      </c>
      <c r="S78" s="10" t="b">
        <f aca="false">TRUE()</f>
        <v>1</v>
      </c>
      <c r="T78" s="6" t="s">
        <v>634</v>
      </c>
      <c r="U78" s="6" t="s">
        <v>108</v>
      </c>
      <c r="V78" s="6" t="s">
        <v>635</v>
      </c>
      <c r="W78" s="6" t="s">
        <v>92</v>
      </c>
    </row>
    <row r="79" customFormat="false" ht="15" hidden="false" customHeight="false" outlineLevel="0" collapsed="false">
      <c r="A79" s="6" t="s">
        <v>636</v>
      </c>
      <c r="B79" s="6" t="s">
        <v>637</v>
      </c>
      <c r="C79" s="6" t="s">
        <v>638</v>
      </c>
      <c r="D79" s="6" t="s">
        <v>39</v>
      </c>
      <c r="E79" s="6" t="s">
        <v>40</v>
      </c>
      <c r="F79" s="6"/>
      <c r="G79" s="6"/>
      <c r="H79" s="6" t="s">
        <v>147</v>
      </c>
      <c r="I79" s="7" t="n">
        <v>1999</v>
      </c>
      <c r="J79" s="7" t="n">
        <v>3999</v>
      </c>
      <c r="K79" s="6" t="n">
        <v>0</v>
      </c>
      <c r="L79" s="6" t="n">
        <v>3</v>
      </c>
      <c r="M79" s="6" t="s">
        <v>639</v>
      </c>
      <c r="N79" s="6" t="s">
        <v>640</v>
      </c>
      <c r="O79" s="8" t="b">
        <f aca="false">TRUE()</f>
        <v>1</v>
      </c>
      <c r="P79" s="6" t="s">
        <v>641</v>
      </c>
      <c r="Q79" s="6" t="s">
        <v>264</v>
      </c>
      <c r="R79" s="6" t="s">
        <v>264</v>
      </c>
      <c r="S79" s="10" t="b">
        <f aca="false">TRUE()</f>
        <v>1</v>
      </c>
      <c r="T79" s="6" t="s">
        <v>642</v>
      </c>
      <c r="U79" s="6" t="s">
        <v>108</v>
      </c>
      <c r="V79" s="6" t="s">
        <v>643</v>
      </c>
      <c r="W79" s="6" t="s">
        <v>92</v>
      </c>
    </row>
    <row r="80" customFormat="false" ht="15" hidden="false" customHeight="false" outlineLevel="0" collapsed="false">
      <c r="A80" s="6" t="s">
        <v>644</v>
      </c>
      <c r="B80" s="6" t="s">
        <v>645</v>
      </c>
      <c r="C80" s="6" t="s">
        <v>646</v>
      </c>
      <c r="D80" s="6" t="s">
        <v>39</v>
      </c>
      <c r="E80" s="6" t="s">
        <v>40</v>
      </c>
      <c r="F80" s="6"/>
      <c r="G80" s="6"/>
      <c r="H80" s="6" t="s">
        <v>562</v>
      </c>
      <c r="I80" s="7" t="n">
        <v>7999</v>
      </c>
      <c r="J80" s="7" t="n">
        <v>7999</v>
      </c>
      <c r="K80" s="6" t="n">
        <v>0</v>
      </c>
      <c r="L80" s="6" t="n">
        <v>1</v>
      </c>
      <c r="M80" s="6" t="s">
        <v>647</v>
      </c>
      <c r="N80" s="6" t="s">
        <v>648</v>
      </c>
      <c r="O80" s="8" t="b">
        <f aca="false">TRUE()</f>
        <v>1</v>
      </c>
      <c r="P80" s="6" t="s">
        <v>649</v>
      </c>
      <c r="Q80" s="6" t="s">
        <v>264</v>
      </c>
      <c r="R80" s="6" t="s">
        <v>650</v>
      </c>
      <c r="S80" s="10" t="b">
        <f aca="false">TRUE()</f>
        <v>1</v>
      </c>
      <c r="T80" s="6" t="s">
        <v>651</v>
      </c>
      <c r="U80" s="6" t="s">
        <v>108</v>
      </c>
      <c r="V80" s="6" t="s">
        <v>652</v>
      </c>
      <c r="W80" s="6" t="s">
        <v>92</v>
      </c>
    </row>
    <row r="81" customFormat="false" ht="15" hidden="false" customHeight="false" outlineLevel="0" collapsed="false">
      <c r="A81" s="6" t="s">
        <v>653</v>
      </c>
      <c r="B81" s="6" t="s">
        <v>654</v>
      </c>
      <c r="C81" s="6" t="s">
        <v>655</v>
      </c>
      <c r="D81" s="6" t="s">
        <v>39</v>
      </c>
      <c r="E81" s="6" t="s">
        <v>40</v>
      </c>
      <c r="F81" s="6"/>
      <c r="G81" s="6"/>
      <c r="H81" s="6" t="s">
        <v>562</v>
      </c>
      <c r="I81" s="7" t="n">
        <v>6999</v>
      </c>
      <c r="J81" s="7" t="n">
        <v>9999</v>
      </c>
      <c r="K81" s="6" t="n">
        <v>0</v>
      </c>
      <c r="L81" s="6" t="n">
        <v>2</v>
      </c>
      <c r="M81" s="6" t="s">
        <v>656</v>
      </c>
      <c r="N81" s="6" t="s">
        <v>657</v>
      </c>
      <c r="O81" s="8" t="b">
        <f aca="false">TRUE()</f>
        <v>1</v>
      </c>
      <c r="P81" s="6" t="s">
        <v>658</v>
      </c>
      <c r="Q81" s="6" t="s">
        <v>264</v>
      </c>
      <c r="R81" s="6" t="s">
        <v>650</v>
      </c>
      <c r="S81" s="10" t="b">
        <f aca="false">TRUE()</f>
        <v>1</v>
      </c>
      <c r="T81" s="6" t="s">
        <v>659</v>
      </c>
      <c r="U81" s="6" t="s">
        <v>108</v>
      </c>
      <c r="V81" s="6" t="s">
        <v>660</v>
      </c>
      <c r="W81" s="6" t="s">
        <v>92</v>
      </c>
    </row>
    <row r="82" customFormat="false" ht="15" hidden="false" customHeight="false" outlineLevel="0" collapsed="false">
      <c r="A82" s="6" t="s">
        <v>661</v>
      </c>
      <c r="B82" s="6" t="s">
        <v>662</v>
      </c>
      <c r="C82" s="6" t="s">
        <v>663</v>
      </c>
      <c r="D82" s="6" t="s">
        <v>39</v>
      </c>
      <c r="E82" s="6" t="s">
        <v>40</v>
      </c>
      <c r="F82" s="6"/>
      <c r="G82" s="6"/>
      <c r="H82" s="6" t="s">
        <v>156</v>
      </c>
      <c r="I82" s="7" t="n">
        <v>2499</v>
      </c>
      <c r="J82" s="7" t="n">
        <v>5600</v>
      </c>
      <c r="K82" s="6" t="n">
        <v>0</v>
      </c>
      <c r="L82" s="6" t="n">
        <v>2</v>
      </c>
      <c r="M82" s="6" t="s">
        <v>199</v>
      </c>
      <c r="N82" s="6" t="s">
        <v>664</v>
      </c>
      <c r="O82" s="8" t="b">
        <f aca="false">TRUE()</f>
        <v>1</v>
      </c>
      <c r="P82" s="6" t="s">
        <v>665</v>
      </c>
      <c r="Q82" s="6" t="s">
        <v>264</v>
      </c>
      <c r="R82" s="6" t="s">
        <v>264</v>
      </c>
      <c r="S82" s="10" t="b">
        <f aca="false">TRUE()</f>
        <v>1</v>
      </c>
      <c r="T82" s="6" t="s">
        <v>666</v>
      </c>
      <c r="U82" s="6" t="s">
        <v>108</v>
      </c>
      <c r="V82" s="6" t="s">
        <v>667</v>
      </c>
      <c r="W82" s="6" t="s">
        <v>92</v>
      </c>
    </row>
    <row r="83" customFormat="false" ht="15" hidden="false" customHeight="false" outlineLevel="0" collapsed="false">
      <c r="A83" s="6" t="s">
        <v>668</v>
      </c>
      <c r="B83" s="6" t="s">
        <v>669</v>
      </c>
      <c r="C83" s="6" t="s">
        <v>670</v>
      </c>
      <c r="D83" s="6" t="s">
        <v>39</v>
      </c>
      <c r="E83" s="6" t="s">
        <v>40</v>
      </c>
      <c r="F83" s="6"/>
      <c r="G83" s="6"/>
      <c r="H83" s="6" t="s">
        <v>156</v>
      </c>
      <c r="I83" s="7" t="n">
        <v>1999</v>
      </c>
      <c r="J83" s="7" t="n">
        <v>3999</v>
      </c>
      <c r="K83" s="6" t="n">
        <v>0</v>
      </c>
      <c r="L83" s="6" t="n">
        <v>3</v>
      </c>
      <c r="M83" s="6" t="s">
        <v>223</v>
      </c>
      <c r="N83" s="6" t="s">
        <v>671</v>
      </c>
      <c r="O83" s="8" t="b">
        <f aca="false">TRUE()</f>
        <v>1</v>
      </c>
      <c r="P83" s="6" t="s">
        <v>672</v>
      </c>
      <c r="Q83" s="6" t="s">
        <v>264</v>
      </c>
      <c r="R83" s="6" t="s">
        <v>264</v>
      </c>
      <c r="S83" s="10" t="b">
        <f aca="false">TRUE()</f>
        <v>1</v>
      </c>
      <c r="T83" s="6" t="s">
        <v>673</v>
      </c>
      <c r="U83" s="6" t="s">
        <v>108</v>
      </c>
      <c r="V83" s="6" t="s">
        <v>674</v>
      </c>
      <c r="W83" s="6" t="s">
        <v>92</v>
      </c>
    </row>
    <row r="84" customFormat="false" ht="15" hidden="false" customHeight="false" outlineLevel="0" collapsed="false">
      <c r="A84" s="6" t="s">
        <v>675</v>
      </c>
      <c r="B84" s="6" t="s">
        <v>676</v>
      </c>
      <c r="C84" s="6" t="s">
        <v>677</v>
      </c>
      <c r="D84" s="6" t="s">
        <v>39</v>
      </c>
      <c r="E84" s="6" t="s">
        <v>40</v>
      </c>
      <c r="F84" s="6"/>
      <c r="G84" s="6"/>
      <c r="H84" s="6" t="s">
        <v>156</v>
      </c>
      <c r="I84" s="7" t="n">
        <v>3999</v>
      </c>
      <c r="J84" s="7" t="n">
        <v>3999</v>
      </c>
      <c r="K84" s="6" t="n">
        <v>0</v>
      </c>
      <c r="L84" s="6" t="n">
        <v>1</v>
      </c>
      <c r="M84" s="6" t="s">
        <v>383</v>
      </c>
      <c r="N84" s="6" t="s">
        <v>678</v>
      </c>
      <c r="O84" s="8" t="b">
        <f aca="false">TRUE()</f>
        <v>1</v>
      </c>
      <c r="P84" s="6" t="s">
        <v>679</v>
      </c>
      <c r="Q84" s="6" t="s">
        <v>264</v>
      </c>
      <c r="R84" s="6" t="s">
        <v>264</v>
      </c>
      <c r="S84" s="10" t="b">
        <f aca="false">TRUE()</f>
        <v>1</v>
      </c>
      <c r="T84" s="6" t="s">
        <v>680</v>
      </c>
      <c r="U84" s="6" t="s">
        <v>108</v>
      </c>
      <c r="V84" s="6" t="s">
        <v>681</v>
      </c>
      <c r="W84" s="6" t="s">
        <v>92</v>
      </c>
    </row>
    <row r="85" customFormat="false" ht="15" hidden="false" customHeight="false" outlineLevel="0" collapsed="false">
      <c r="A85" s="6" t="s">
        <v>682</v>
      </c>
      <c r="B85" s="6" t="s">
        <v>683</v>
      </c>
      <c r="C85" s="6" t="s">
        <v>684</v>
      </c>
      <c r="D85" s="6" t="s">
        <v>39</v>
      </c>
      <c r="E85" s="6" t="s">
        <v>40</v>
      </c>
      <c r="F85" s="6"/>
      <c r="G85" s="6"/>
      <c r="H85" s="6" t="s">
        <v>222</v>
      </c>
      <c r="I85" s="7" t="n">
        <v>1999</v>
      </c>
      <c r="J85" s="7" t="n">
        <v>3999</v>
      </c>
      <c r="K85" s="6" t="n">
        <v>0</v>
      </c>
      <c r="L85" s="6" t="n">
        <v>3</v>
      </c>
      <c r="M85" s="6" t="s">
        <v>223</v>
      </c>
      <c r="N85" s="6" t="s">
        <v>685</v>
      </c>
      <c r="O85" s="8" t="b">
        <f aca="false">TRUE()</f>
        <v>1</v>
      </c>
      <c r="P85" s="6" t="s">
        <v>686</v>
      </c>
      <c r="Q85" s="6" t="s">
        <v>264</v>
      </c>
      <c r="R85" s="6" t="s">
        <v>264</v>
      </c>
      <c r="S85" s="10" t="b">
        <f aca="false">TRUE()</f>
        <v>1</v>
      </c>
      <c r="T85" s="6" t="s">
        <v>687</v>
      </c>
      <c r="U85" s="6" t="s">
        <v>108</v>
      </c>
      <c r="V85" s="6" t="s">
        <v>688</v>
      </c>
      <c r="W85" s="6" t="s">
        <v>92</v>
      </c>
    </row>
    <row r="86" customFormat="false" ht="15" hidden="false" customHeight="false" outlineLevel="0" collapsed="false">
      <c r="A86" s="6" t="s">
        <v>689</v>
      </c>
      <c r="B86" s="6" t="s">
        <v>690</v>
      </c>
      <c r="C86" s="6" t="s">
        <v>691</v>
      </c>
      <c r="D86" s="6" t="s">
        <v>39</v>
      </c>
      <c r="E86" s="6" t="s">
        <v>40</v>
      </c>
      <c r="F86" s="6"/>
      <c r="G86" s="6"/>
      <c r="H86" s="6" t="s">
        <v>156</v>
      </c>
      <c r="I86" s="7" t="n">
        <v>5600</v>
      </c>
      <c r="J86" s="7" t="n">
        <v>5600</v>
      </c>
      <c r="K86" s="6" t="n">
        <v>0</v>
      </c>
      <c r="L86" s="6" t="n">
        <v>1</v>
      </c>
      <c r="M86" s="6" t="s">
        <v>429</v>
      </c>
      <c r="N86" s="6" t="s">
        <v>692</v>
      </c>
      <c r="O86" s="8" t="b">
        <f aca="false">TRUE()</f>
        <v>1</v>
      </c>
      <c r="P86" s="6" t="s">
        <v>693</v>
      </c>
      <c r="Q86" s="6" t="s">
        <v>264</v>
      </c>
      <c r="R86" s="6" t="s">
        <v>264</v>
      </c>
      <c r="S86" s="10" t="b">
        <f aca="false">TRUE()</f>
        <v>1</v>
      </c>
      <c r="T86" s="6" t="s">
        <v>694</v>
      </c>
      <c r="U86" s="6" t="s">
        <v>108</v>
      </c>
      <c r="V86" s="6" t="s">
        <v>695</v>
      </c>
      <c r="W86" s="6" t="s">
        <v>92</v>
      </c>
    </row>
    <row r="87" customFormat="false" ht="15" hidden="false" customHeight="false" outlineLevel="0" collapsed="false">
      <c r="A87" s="6" t="s">
        <v>696</v>
      </c>
      <c r="B87" s="6" t="s">
        <v>697</v>
      </c>
      <c r="C87" s="6" t="s">
        <v>698</v>
      </c>
      <c r="D87" s="6" t="s">
        <v>39</v>
      </c>
      <c r="E87" s="6" t="s">
        <v>40</v>
      </c>
      <c r="F87" s="6"/>
      <c r="G87" s="6"/>
      <c r="H87" s="6" t="s">
        <v>113</v>
      </c>
      <c r="I87" s="7" t="n">
        <v>2999</v>
      </c>
      <c r="J87" s="7" t="n">
        <v>3999</v>
      </c>
      <c r="K87" s="6" t="n">
        <v>0</v>
      </c>
      <c r="L87" s="6" t="n">
        <v>2</v>
      </c>
      <c r="M87" s="6" t="s">
        <v>699</v>
      </c>
      <c r="N87" s="6" t="s">
        <v>700</v>
      </c>
      <c r="O87" s="8" t="b">
        <f aca="false">TRUE()</f>
        <v>1</v>
      </c>
      <c r="P87" s="6" t="s">
        <v>701</v>
      </c>
      <c r="Q87" s="6" t="s">
        <v>264</v>
      </c>
      <c r="R87" s="6" t="s">
        <v>264</v>
      </c>
      <c r="S87" s="10" t="b">
        <f aca="false">TRUE()</f>
        <v>1</v>
      </c>
      <c r="T87" s="6" t="s">
        <v>702</v>
      </c>
      <c r="U87" s="6" t="s">
        <v>108</v>
      </c>
      <c r="V87" s="6" t="s">
        <v>703</v>
      </c>
      <c r="W87" s="6" t="s">
        <v>92</v>
      </c>
    </row>
    <row r="88" customFormat="false" ht="15" hidden="false" customHeight="false" outlineLevel="0" collapsed="false">
      <c r="A88" s="6" t="s">
        <v>704</v>
      </c>
      <c r="B88" s="6" t="s">
        <v>705</v>
      </c>
      <c r="C88" s="6" t="s">
        <v>706</v>
      </c>
      <c r="D88" s="6" t="s">
        <v>39</v>
      </c>
      <c r="E88" s="6" t="s">
        <v>40</v>
      </c>
      <c r="F88" s="6"/>
      <c r="G88" s="6"/>
      <c r="H88" s="6" t="s">
        <v>707</v>
      </c>
      <c r="I88" s="7" t="n">
        <v>2999</v>
      </c>
      <c r="J88" s="7" t="n">
        <v>3999</v>
      </c>
      <c r="K88" s="6" t="n">
        <v>0</v>
      </c>
      <c r="L88" s="6" t="n">
        <v>2</v>
      </c>
      <c r="M88" s="6" t="s">
        <v>708</v>
      </c>
      <c r="N88" s="6" t="s">
        <v>709</v>
      </c>
      <c r="O88" s="8" t="b">
        <f aca="false">TRUE()</f>
        <v>1</v>
      </c>
      <c r="P88" s="6" t="s">
        <v>710</v>
      </c>
      <c r="Q88" s="6" t="s">
        <v>264</v>
      </c>
      <c r="R88" s="6" t="s">
        <v>264</v>
      </c>
      <c r="S88" s="10" t="b">
        <f aca="false">TRUE()</f>
        <v>1</v>
      </c>
      <c r="T88" s="6" t="s">
        <v>711</v>
      </c>
      <c r="U88" s="6" t="s">
        <v>108</v>
      </c>
      <c r="V88" s="6" t="s">
        <v>712</v>
      </c>
      <c r="W88" s="6" t="s">
        <v>92</v>
      </c>
    </row>
    <row r="89" customFormat="false" ht="15" hidden="false" customHeight="false" outlineLevel="0" collapsed="false">
      <c r="A89" s="6" t="s">
        <v>713</v>
      </c>
      <c r="B89" s="6" t="s">
        <v>714</v>
      </c>
      <c r="C89" s="6" t="s">
        <v>715</v>
      </c>
      <c r="D89" s="6" t="s">
        <v>39</v>
      </c>
      <c r="E89" s="6" t="s">
        <v>40</v>
      </c>
      <c r="F89" s="6"/>
      <c r="G89" s="6"/>
      <c r="H89" s="6" t="s">
        <v>113</v>
      </c>
      <c r="I89" s="7" t="n">
        <v>1999</v>
      </c>
      <c r="J89" s="7" t="n">
        <v>3999</v>
      </c>
      <c r="K89" s="6" t="n">
        <v>0</v>
      </c>
      <c r="L89" s="6" t="n">
        <v>3</v>
      </c>
      <c r="M89" s="6" t="s">
        <v>166</v>
      </c>
      <c r="N89" s="6" t="s">
        <v>716</v>
      </c>
      <c r="O89" s="8" t="b">
        <f aca="false">TRUE()</f>
        <v>1</v>
      </c>
      <c r="P89" s="6" t="s">
        <v>717</v>
      </c>
      <c r="Q89" s="6" t="s">
        <v>264</v>
      </c>
      <c r="R89" s="6" t="s">
        <v>264</v>
      </c>
      <c r="S89" s="10" t="b">
        <f aca="false">TRUE()</f>
        <v>1</v>
      </c>
      <c r="T89" s="6" t="s">
        <v>718</v>
      </c>
      <c r="U89" s="6" t="s">
        <v>108</v>
      </c>
      <c r="V89" s="6" t="s">
        <v>719</v>
      </c>
      <c r="W89" s="6" t="s">
        <v>92</v>
      </c>
    </row>
    <row r="90" customFormat="false" ht="15" hidden="false" customHeight="false" outlineLevel="0" collapsed="false">
      <c r="A90" s="6" t="s">
        <v>720</v>
      </c>
      <c r="B90" s="6" t="s">
        <v>721</v>
      </c>
      <c r="C90" s="6" t="s">
        <v>722</v>
      </c>
      <c r="D90" s="6" t="s">
        <v>39</v>
      </c>
      <c r="E90" s="6" t="s">
        <v>40</v>
      </c>
      <c r="F90" s="6"/>
      <c r="G90" s="6"/>
      <c r="H90" s="6" t="s">
        <v>113</v>
      </c>
      <c r="I90" s="7" t="n">
        <v>1999</v>
      </c>
      <c r="J90" s="7" t="n">
        <v>3999</v>
      </c>
      <c r="K90" s="6" t="n">
        <v>0</v>
      </c>
      <c r="L90" s="6" t="n">
        <v>3</v>
      </c>
      <c r="M90" s="6" t="s">
        <v>223</v>
      </c>
      <c r="N90" s="6" t="s">
        <v>723</v>
      </c>
      <c r="O90" s="8" t="b">
        <f aca="false">TRUE()</f>
        <v>1</v>
      </c>
      <c r="P90" s="6" t="s">
        <v>724</v>
      </c>
      <c r="Q90" s="6" t="s">
        <v>264</v>
      </c>
      <c r="R90" s="6" t="s">
        <v>264</v>
      </c>
      <c r="S90" s="10" t="b">
        <f aca="false">TRUE()</f>
        <v>1</v>
      </c>
      <c r="T90" s="6" t="s">
        <v>725</v>
      </c>
      <c r="U90" s="6" t="s">
        <v>108</v>
      </c>
      <c r="V90" s="6" t="s">
        <v>726</v>
      </c>
      <c r="W90" s="6" t="s">
        <v>92</v>
      </c>
    </row>
    <row r="91" customFormat="false" ht="15" hidden="false" customHeight="false" outlineLevel="0" collapsed="false">
      <c r="A91" s="6" t="s">
        <v>727</v>
      </c>
      <c r="B91" s="6" t="s">
        <v>728</v>
      </c>
      <c r="C91" s="6" t="s">
        <v>729</v>
      </c>
      <c r="D91" s="6" t="s">
        <v>39</v>
      </c>
      <c r="E91" s="6" t="s">
        <v>40</v>
      </c>
      <c r="F91" s="6"/>
      <c r="G91" s="6"/>
      <c r="H91" s="6" t="s">
        <v>113</v>
      </c>
      <c r="I91" s="7" t="n">
        <v>1999</v>
      </c>
      <c r="J91" s="7" t="n">
        <v>3999</v>
      </c>
      <c r="K91" s="6" t="n">
        <v>0</v>
      </c>
      <c r="L91" s="6" t="n">
        <v>3</v>
      </c>
      <c r="M91" s="6" t="s">
        <v>223</v>
      </c>
      <c r="N91" s="6" t="s">
        <v>730</v>
      </c>
      <c r="O91" s="8" t="b">
        <f aca="false">TRUE()</f>
        <v>1</v>
      </c>
      <c r="P91" s="6" t="s">
        <v>731</v>
      </c>
      <c r="Q91" s="6" t="s">
        <v>264</v>
      </c>
      <c r="R91" s="6" t="s">
        <v>264</v>
      </c>
      <c r="S91" s="9" t="b">
        <f aca="false">FALSE()</f>
        <v>0</v>
      </c>
      <c r="T91" s="6"/>
      <c r="U91" s="6"/>
      <c r="V91" s="6"/>
      <c r="W91" s="6"/>
    </row>
    <row r="92" customFormat="false" ht="15" hidden="false" customHeight="false" outlineLevel="0" collapsed="false">
      <c r="A92" s="6" t="s">
        <v>732</v>
      </c>
      <c r="B92" s="6" t="s">
        <v>733</v>
      </c>
      <c r="C92" s="6" t="s">
        <v>734</v>
      </c>
      <c r="D92" s="6" t="s">
        <v>39</v>
      </c>
      <c r="E92" s="6" t="s">
        <v>40</v>
      </c>
      <c r="F92" s="6"/>
      <c r="G92" s="6"/>
      <c r="H92" s="6" t="s">
        <v>113</v>
      </c>
      <c r="I92" s="7" t="n">
        <v>1999</v>
      </c>
      <c r="J92" s="7" t="n">
        <v>3999</v>
      </c>
      <c r="K92" s="6" t="n">
        <v>0</v>
      </c>
      <c r="L92" s="6" t="n">
        <v>3</v>
      </c>
      <c r="M92" s="6" t="s">
        <v>130</v>
      </c>
      <c r="N92" s="6" t="s">
        <v>735</v>
      </c>
      <c r="O92" s="8" t="b">
        <f aca="false">TRUE()</f>
        <v>1</v>
      </c>
      <c r="P92" s="6" t="s">
        <v>736</v>
      </c>
      <c r="Q92" s="6" t="s">
        <v>264</v>
      </c>
      <c r="R92" s="6" t="s">
        <v>264</v>
      </c>
      <c r="S92" s="10" t="b">
        <f aca="false">TRUE()</f>
        <v>1</v>
      </c>
      <c r="T92" s="6" t="s">
        <v>737</v>
      </c>
      <c r="U92" s="6" t="s">
        <v>108</v>
      </c>
      <c r="V92" s="6" t="s">
        <v>738</v>
      </c>
      <c r="W92" s="6" t="s">
        <v>92</v>
      </c>
    </row>
    <row r="93" customFormat="false" ht="15" hidden="false" customHeight="false" outlineLevel="0" collapsed="false">
      <c r="A93" s="6" t="s">
        <v>739</v>
      </c>
      <c r="B93" s="6" t="s">
        <v>740</v>
      </c>
      <c r="C93" s="6" t="s">
        <v>741</v>
      </c>
      <c r="D93" s="6" t="s">
        <v>39</v>
      </c>
      <c r="E93" s="6" t="s">
        <v>40</v>
      </c>
      <c r="F93" s="6"/>
      <c r="G93" s="6"/>
      <c r="H93" s="6" t="s">
        <v>534</v>
      </c>
      <c r="I93" s="7" t="n">
        <v>4499</v>
      </c>
      <c r="J93" s="7" t="n">
        <v>5999</v>
      </c>
      <c r="K93" s="6" t="n">
        <v>0</v>
      </c>
      <c r="L93" s="6" t="n">
        <v>2</v>
      </c>
      <c r="M93" s="6" t="s">
        <v>742</v>
      </c>
      <c r="N93" s="6" t="s">
        <v>743</v>
      </c>
      <c r="O93" s="8" t="b">
        <f aca="false">TRUE()</f>
        <v>1</v>
      </c>
      <c r="P93" s="6" t="s">
        <v>744</v>
      </c>
      <c r="Q93" s="6" t="s">
        <v>264</v>
      </c>
      <c r="R93" s="6" t="s">
        <v>264</v>
      </c>
      <c r="S93" s="10" t="b">
        <f aca="false">TRUE()</f>
        <v>1</v>
      </c>
      <c r="T93" s="6" t="s">
        <v>745</v>
      </c>
      <c r="U93" s="6" t="s">
        <v>108</v>
      </c>
      <c r="V93" s="6" t="s">
        <v>746</v>
      </c>
      <c r="W93" s="6" t="s">
        <v>92</v>
      </c>
    </row>
    <row r="94" customFormat="false" ht="15" hidden="false" customHeight="false" outlineLevel="0" collapsed="false">
      <c r="A94" s="6" t="s">
        <v>747</v>
      </c>
      <c r="B94" s="6" t="s">
        <v>748</v>
      </c>
      <c r="C94" s="6" t="s">
        <v>749</v>
      </c>
      <c r="D94" s="6" t="s">
        <v>39</v>
      </c>
      <c r="E94" s="6" t="s">
        <v>40</v>
      </c>
      <c r="F94" s="6"/>
      <c r="G94" s="6"/>
      <c r="H94" s="6" t="s">
        <v>165</v>
      </c>
      <c r="I94" s="7" t="n">
        <v>1999</v>
      </c>
      <c r="J94" s="7" t="n">
        <v>2999</v>
      </c>
      <c r="K94" s="6" t="n">
        <v>0</v>
      </c>
      <c r="L94" s="6" t="n">
        <v>3</v>
      </c>
      <c r="M94" s="6" t="s">
        <v>750</v>
      </c>
      <c r="N94" s="6" t="s">
        <v>751</v>
      </c>
      <c r="O94" s="8" t="b">
        <f aca="false">TRUE()</f>
        <v>1</v>
      </c>
      <c r="P94" s="6" t="s">
        <v>752</v>
      </c>
      <c r="Q94" s="6" t="s">
        <v>264</v>
      </c>
      <c r="R94" s="6" t="s">
        <v>264</v>
      </c>
      <c r="S94" s="10" t="b">
        <f aca="false">TRUE()</f>
        <v>1</v>
      </c>
      <c r="T94" s="6" t="s">
        <v>753</v>
      </c>
      <c r="U94" s="6" t="s">
        <v>108</v>
      </c>
      <c r="V94" s="6" t="s">
        <v>754</v>
      </c>
      <c r="W94" s="6" t="s">
        <v>92</v>
      </c>
    </row>
    <row r="95" customFormat="false" ht="15" hidden="false" customHeight="false" outlineLevel="0" collapsed="false">
      <c r="A95" s="6" t="s">
        <v>755</v>
      </c>
      <c r="B95" s="6" t="s">
        <v>756</v>
      </c>
      <c r="C95" s="6" t="s">
        <v>757</v>
      </c>
      <c r="D95" s="6" t="s">
        <v>39</v>
      </c>
      <c r="E95" s="6" t="s">
        <v>40</v>
      </c>
      <c r="F95" s="6"/>
      <c r="G95" s="6"/>
      <c r="H95" s="6" t="s">
        <v>222</v>
      </c>
      <c r="I95" s="7" t="n">
        <v>3499</v>
      </c>
      <c r="J95" s="7" t="n">
        <v>5000</v>
      </c>
      <c r="K95" s="6" t="n">
        <v>0</v>
      </c>
      <c r="L95" s="6" t="n">
        <v>2</v>
      </c>
      <c r="M95" s="6" t="s">
        <v>758</v>
      </c>
      <c r="N95" s="6" t="s">
        <v>759</v>
      </c>
      <c r="O95" s="8" t="b">
        <f aca="false">TRUE()</f>
        <v>1</v>
      </c>
      <c r="P95" s="6" t="s">
        <v>760</v>
      </c>
      <c r="Q95" s="6" t="s">
        <v>264</v>
      </c>
      <c r="R95" s="6" t="s">
        <v>264</v>
      </c>
      <c r="S95" s="10" t="b">
        <f aca="false">TRUE()</f>
        <v>1</v>
      </c>
      <c r="T95" s="6" t="s">
        <v>761</v>
      </c>
      <c r="U95" s="6" t="s">
        <v>108</v>
      </c>
      <c r="V95" s="6" t="s">
        <v>762</v>
      </c>
      <c r="W95" s="6" t="s">
        <v>92</v>
      </c>
    </row>
    <row r="96" customFormat="false" ht="15" hidden="false" customHeight="false" outlineLevel="0" collapsed="false">
      <c r="A96" s="6" t="s">
        <v>763</v>
      </c>
      <c r="B96" s="6" t="s">
        <v>764</v>
      </c>
      <c r="C96" s="6" t="s">
        <v>765</v>
      </c>
      <c r="D96" s="6" t="s">
        <v>39</v>
      </c>
      <c r="E96" s="6" t="s">
        <v>40</v>
      </c>
      <c r="F96" s="6"/>
      <c r="G96" s="6"/>
      <c r="H96" s="6" t="s">
        <v>766</v>
      </c>
      <c r="I96" s="7" t="n">
        <v>2499</v>
      </c>
      <c r="J96" s="7" t="n">
        <v>5600</v>
      </c>
      <c r="K96" s="6" t="n">
        <v>0</v>
      </c>
      <c r="L96" s="6" t="n">
        <v>2</v>
      </c>
      <c r="M96" s="6" t="s">
        <v>767</v>
      </c>
      <c r="N96" s="6" t="s">
        <v>768</v>
      </c>
      <c r="O96" s="8" t="b">
        <f aca="false">TRUE()</f>
        <v>1</v>
      </c>
      <c r="P96" s="6" t="s">
        <v>769</v>
      </c>
      <c r="Q96" s="6" t="s">
        <v>264</v>
      </c>
      <c r="R96" s="6" t="s">
        <v>264</v>
      </c>
      <c r="S96" s="10" t="b">
        <f aca="false">TRUE()</f>
        <v>1</v>
      </c>
      <c r="T96" s="6" t="s">
        <v>770</v>
      </c>
      <c r="U96" s="6" t="s">
        <v>108</v>
      </c>
      <c r="V96" s="6" t="s">
        <v>771</v>
      </c>
      <c r="W96" s="6" t="s">
        <v>92</v>
      </c>
    </row>
    <row r="97" customFormat="false" ht="15" hidden="false" customHeight="false" outlineLevel="0" collapsed="false">
      <c r="A97" s="6" t="s">
        <v>772</v>
      </c>
      <c r="B97" s="6" t="s">
        <v>773</v>
      </c>
      <c r="C97" s="6" t="s">
        <v>774</v>
      </c>
      <c r="D97" s="6" t="s">
        <v>39</v>
      </c>
      <c r="E97" s="6" t="s">
        <v>40</v>
      </c>
      <c r="F97" s="6"/>
      <c r="G97" s="6"/>
      <c r="H97" s="6" t="s">
        <v>222</v>
      </c>
      <c r="I97" s="7" t="n">
        <v>2499</v>
      </c>
      <c r="J97" s="7" t="n">
        <v>2999</v>
      </c>
      <c r="K97" s="6" t="n">
        <v>0</v>
      </c>
      <c r="L97" s="6" t="n">
        <v>2</v>
      </c>
      <c r="M97" s="6" t="s">
        <v>775</v>
      </c>
      <c r="N97" s="6" t="s">
        <v>776</v>
      </c>
      <c r="O97" s="8" t="b">
        <f aca="false">TRUE()</f>
        <v>1</v>
      </c>
      <c r="P97" s="6" t="s">
        <v>777</v>
      </c>
      <c r="Q97" s="6" t="s">
        <v>264</v>
      </c>
      <c r="R97" s="6" t="s">
        <v>264</v>
      </c>
      <c r="S97" s="10" t="b">
        <f aca="false">TRUE()</f>
        <v>1</v>
      </c>
      <c r="T97" s="6" t="s">
        <v>778</v>
      </c>
      <c r="U97" s="6" t="s">
        <v>108</v>
      </c>
      <c r="V97" s="6" t="s">
        <v>779</v>
      </c>
      <c r="W97" s="6" t="s">
        <v>92</v>
      </c>
    </row>
    <row r="98" customFormat="false" ht="15" hidden="false" customHeight="false" outlineLevel="0" collapsed="false">
      <c r="A98" s="6" t="s">
        <v>780</v>
      </c>
      <c r="B98" s="6" t="s">
        <v>781</v>
      </c>
      <c r="C98" s="6" t="s">
        <v>782</v>
      </c>
      <c r="D98" s="6" t="s">
        <v>39</v>
      </c>
      <c r="E98" s="6" t="s">
        <v>40</v>
      </c>
      <c r="F98" s="6"/>
      <c r="G98" s="6"/>
      <c r="H98" s="6" t="s">
        <v>189</v>
      </c>
      <c r="I98" s="7" t="n">
        <v>1999</v>
      </c>
      <c r="J98" s="7" t="n">
        <v>3999</v>
      </c>
      <c r="K98" s="6" t="n">
        <v>0</v>
      </c>
      <c r="L98" s="6" t="n">
        <v>3</v>
      </c>
      <c r="M98" s="6" t="s">
        <v>783</v>
      </c>
      <c r="N98" s="6" t="s">
        <v>784</v>
      </c>
      <c r="O98" s="8" t="b">
        <f aca="false">TRUE()</f>
        <v>1</v>
      </c>
      <c r="P98" s="6" t="s">
        <v>785</v>
      </c>
      <c r="Q98" s="6" t="s">
        <v>264</v>
      </c>
      <c r="R98" s="6" t="s">
        <v>264</v>
      </c>
      <c r="S98" s="10" t="b">
        <f aca="false">TRUE()</f>
        <v>1</v>
      </c>
      <c r="T98" s="6" t="s">
        <v>786</v>
      </c>
      <c r="U98" s="6" t="s">
        <v>108</v>
      </c>
      <c r="V98" s="6" t="s">
        <v>787</v>
      </c>
      <c r="W98" s="6" t="s">
        <v>92</v>
      </c>
    </row>
    <row r="99" customFormat="false" ht="15" hidden="false" customHeight="false" outlineLevel="0" collapsed="false">
      <c r="A99" s="6" t="s">
        <v>788</v>
      </c>
      <c r="B99" s="6" t="s">
        <v>789</v>
      </c>
      <c r="C99" s="6" t="s">
        <v>790</v>
      </c>
      <c r="D99" s="6" t="s">
        <v>39</v>
      </c>
      <c r="E99" s="6" t="s">
        <v>40</v>
      </c>
      <c r="F99" s="6"/>
      <c r="G99" s="6"/>
      <c r="H99" s="6" t="s">
        <v>214</v>
      </c>
      <c r="I99" s="7" t="n">
        <v>1999</v>
      </c>
      <c r="J99" s="7" t="n">
        <v>3999</v>
      </c>
      <c r="K99" s="6" t="n">
        <v>0</v>
      </c>
      <c r="L99" s="6" t="n">
        <v>3</v>
      </c>
      <c r="M99" s="6" t="s">
        <v>791</v>
      </c>
      <c r="N99" s="6" t="s">
        <v>792</v>
      </c>
      <c r="O99" s="8" t="b">
        <f aca="false">TRUE()</f>
        <v>1</v>
      </c>
      <c r="P99" s="6" t="s">
        <v>793</v>
      </c>
      <c r="Q99" s="6" t="s">
        <v>264</v>
      </c>
      <c r="R99" s="6" t="s">
        <v>264</v>
      </c>
      <c r="S99" s="10" t="b">
        <f aca="false">TRUE()</f>
        <v>1</v>
      </c>
      <c r="T99" s="6" t="s">
        <v>794</v>
      </c>
      <c r="U99" s="6" t="s">
        <v>108</v>
      </c>
      <c r="V99" s="6" t="s">
        <v>795</v>
      </c>
      <c r="W99" s="6" t="s">
        <v>92</v>
      </c>
    </row>
    <row r="100" customFormat="false" ht="15" hidden="false" customHeight="false" outlineLevel="0" collapsed="false">
      <c r="A100" s="6" t="s">
        <v>796</v>
      </c>
      <c r="B100" s="6" t="s">
        <v>797</v>
      </c>
      <c r="C100" s="6" t="s">
        <v>798</v>
      </c>
      <c r="D100" s="6" t="s">
        <v>39</v>
      </c>
      <c r="E100" s="6" t="s">
        <v>40</v>
      </c>
      <c r="F100" s="6"/>
      <c r="G100" s="6"/>
      <c r="H100" s="6" t="s">
        <v>222</v>
      </c>
      <c r="I100" s="7" t="n">
        <v>2499</v>
      </c>
      <c r="J100" s="7" t="n">
        <v>3299</v>
      </c>
      <c r="K100" s="6" t="n">
        <v>0</v>
      </c>
      <c r="L100" s="6" t="n">
        <v>2</v>
      </c>
      <c r="M100" s="6" t="s">
        <v>799</v>
      </c>
      <c r="N100" s="6" t="s">
        <v>800</v>
      </c>
      <c r="O100" s="8" t="b">
        <f aca="false">TRUE()</f>
        <v>1</v>
      </c>
      <c r="P100" s="6" t="s">
        <v>801</v>
      </c>
      <c r="Q100" s="6" t="s">
        <v>264</v>
      </c>
      <c r="R100" s="6" t="s">
        <v>264</v>
      </c>
      <c r="S100" s="10" t="b">
        <f aca="false">TRUE()</f>
        <v>1</v>
      </c>
      <c r="T100" s="6" t="s">
        <v>802</v>
      </c>
      <c r="U100" s="6" t="s">
        <v>108</v>
      </c>
      <c r="V100" s="6" t="s">
        <v>803</v>
      </c>
      <c r="W100" s="6" t="s">
        <v>92</v>
      </c>
    </row>
    <row r="101" customFormat="false" ht="15" hidden="false" customHeight="false" outlineLevel="0" collapsed="false">
      <c r="A101" s="6" t="s">
        <v>804</v>
      </c>
      <c r="B101" s="6" t="s">
        <v>805</v>
      </c>
      <c r="C101" s="6" t="s">
        <v>806</v>
      </c>
      <c r="D101" s="6" t="s">
        <v>39</v>
      </c>
      <c r="E101" s="6" t="s">
        <v>40</v>
      </c>
      <c r="F101" s="6"/>
      <c r="G101" s="6"/>
      <c r="H101" s="6" t="s">
        <v>807</v>
      </c>
      <c r="I101" s="7" t="n">
        <v>5000</v>
      </c>
      <c r="J101" s="7" t="n">
        <v>5000</v>
      </c>
      <c r="K101" s="6" t="n">
        <v>0</v>
      </c>
      <c r="L101" s="6" t="n">
        <v>1</v>
      </c>
      <c r="M101" s="6" t="s">
        <v>808</v>
      </c>
      <c r="N101" s="6" t="s">
        <v>809</v>
      </c>
      <c r="O101" s="8" t="b">
        <f aca="false">TRUE()</f>
        <v>1</v>
      </c>
      <c r="P101" s="6" t="s">
        <v>810</v>
      </c>
      <c r="Q101" s="6" t="s">
        <v>264</v>
      </c>
      <c r="R101" s="6" t="s">
        <v>264</v>
      </c>
      <c r="S101" s="10" t="b">
        <f aca="false">TRUE()</f>
        <v>1</v>
      </c>
      <c r="T101" s="6" t="s">
        <v>811</v>
      </c>
      <c r="U101" s="6" t="s">
        <v>108</v>
      </c>
      <c r="V101" s="6" t="s">
        <v>812</v>
      </c>
      <c r="W101" s="6" t="s">
        <v>92</v>
      </c>
    </row>
    <row r="102" customFormat="false" ht="15" hidden="false" customHeight="false" outlineLevel="0" collapsed="false">
      <c r="A102" s="6" t="s">
        <v>813</v>
      </c>
      <c r="B102" s="6" t="s">
        <v>814</v>
      </c>
      <c r="C102" s="6" t="s">
        <v>815</v>
      </c>
      <c r="D102" s="6" t="s">
        <v>39</v>
      </c>
      <c r="E102" s="6" t="s">
        <v>40</v>
      </c>
      <c r="F102" s="6"/>
      <c r="G102" s="6"/>
      <c r="H102" s="6" t="s">
        <v>103</v>
      </c>
      <c r="I102" s="7" t="n">
        <v>5999</v>
      </c>
      <c r="J102" s="7" t="n">
        <v>9999</v>
      </c>
      <c r="K102" s="6" t="n">
        <v>0</v>
      </c>
      <c r="L102" s="6" t="n">
        <v>2</v>
      </c>
      <c r="M102" s="6" t="s">
        <v>816</v>
      </c>
      <c r="N102" s="6" t="s">
        <v>817</v>
      </c>
      <c r="O102" s="8" t="b">
        <f aca="false">TRUE()</f>
        <v>1</v>
      </c>
      <c r="P102" s="6" t="s">
        <v>818</v>
      </c>
      <c r="Q102" s="6" t="s">
        <v>264</v>
      </c>
      <c r="R102" s="6" t="s">
        <v>264</v>
      </c>
      <c r="S102" s="10" t="b">
        <f aca="false">TRUE()</f>
        <v>1</v>
      </c>
      <c r="T102" s="6" t="s">
        <v>819</v>
      </c>
      <c r="U102" s="6" t="s">
        <v>108</v>
      </c>
      <c r="V102" s="6" t="s">
        <v>820</v>
      </c>
      <c r="W102" s="6" t="s">
        <v>92</v>
      </c>
    </row>
    <row r="103" customFormat="false" ht="15" hidden="false" customHeight="false" outlineLevel="0" collapsed="false">
      <c r="A103" s="6" t="s">
        <v>821</v>
      </c>
      <c r="B103" s="6" t="s">
        <v>822</v>
      </c>
      <c r="C103" s="6" t="s">
        <v>823</v>
      </c>
      <c r="D103" s="6" t="s">
        <v>39</v>
      </c>
      <c r="E103" s="6" t="s">
        <v>40</v>
      </c>
      <c r="F103" s="6"/>
      <c r="G103" s="6"/>
      <c r="H103" s="6" t="s">
        <v>189</v>
      </c>
      <c r="I103" s="7" t="n">
        <v>2999</v>
      </c>
      <c r="J103" s="7" t="n">
        <v>3999</v>
      </c>
      <c r="K103" s="6" t="n">
        <v>0</v>
      </c>
      <c r="L103" s="6" t="n">
        <v>2</v>
      </c>
      <c r="M103" s="6" t="s">
        <v>824</v>
      </c>
      <c r="N103" s="6" t="s">
        <v>825</v>
      </c>
      <c r="O103" s="8" t="b">
        <f aca="false">TRUE()</f>
        <v>1</v>
      </c>
      <c r="P103" s="6" t="s">
        <v>826</v>
      </c>
      <c r="Q103" s="6" t="s">
        <v>264</v>
      </c>
      <c r="R103" s="6" t="s">
        <v>264</v>
      </c>
      <c r="S103" s="10" t="b">
        <f aca="false">TRUE()</f>
        <v>1</v>
      </c>
      <c r="T103" s="6" t="s">
        <v>827</v>
      </c>
      <c r="U103" s="6" t="s">
        <v>108</v>
      </c>
      <c r="V103" s="6" t="s">
        <v>828</v>
      </c>
      <c r="W103" s="6" t="s">
        <v>92</v>
      </c>
    </row>
    <row r="104" customFormat="false" ht="15" hidden="false" customHeight="false" outlineLevel="0" collapsed="false">
      <c r="A104" s="6" t="s">
        <v>829</v>
      </c>
      <c r="B104" s="6" t="s">
        <v>830</v>
      </c>
      <c r="C104" s="6" t="s">
        <v>831</v>
      </c>
      <c r="D104" s="6" t="s">
        <v>39</v>
      </c>
      <c r="E104" s="6" t="s">
        <v>40</v>
      </c>
      <c r="F104" s="6"/>
      <c r="G104" s="6"/>
      <c r="H104" s="6" t="s">
        <v>165</v>
      </c>
      <c r="I104" s="7" t="n">
        <v>3500</v>
      </c>
      <c r="J104" s="7" t="n">
        <v>5600</v>
      </c>
      <c r="K104" s="6" t="n">
        <v>0</v>
      </c>
      <c r="L104" s="6" t="n">
        <v>2</v>
      </c>
      <c r="M104" s="6" t="s">
        <v>832</v>
      </c>
      <c r="N104" s="6" t="s">
        <v>833</v>
      </c>
      <c r="O104" s="8" t="b">
        <f aca="false">TRUE()</f>
        <v>1</v>
      </c>
      <c r="P104" s="6" t="s">
        <v>834</v>
      </c>
      <c r="Q104" s="6" t="s">
        <v>264</v>
      </c>
      <c r="R104" s="6" t="s">
        <v>264</v>
      </c>
      <c r="S104" s="10" t="b">
        <f aca="false">TRUE()</f>
        <v>1</v>
      </c>
      <c r="T104" s="6" t="s">
        <v>835</v>
      </c>
      <c r="U104" s="6" t="s">
        <v>108</v>
      </c>
      <c r="V104" s="6" t="s">
        <v>836</v>
      </c>
      <c r="W104" s="6" t="s">
        <v>92</v>
      </c>
    </row>
    <row r="105" customFormat="false" ht="15" hidden="false" customHeight="false" outlineLevel="0" collapsed="false">
      <c r="A105" s="6" t="s">
        <v>837</v>
      </c>
      <c r="B105" s="6" t="s">
        <v>838</v>
      </c>
      <c r="C105" s="6" t="s">
        <v>839</v>
      </c>
      <c r="D105" s="6" t="s">
        <v>39</v>
      </c>
      <c r="E105" s="6" t="s">
        <v>40</v>
      </c>
      <c r="F105" s="6"/>
      <c r="G105" s="6"/>
      <c r="H105" s="6" t="s">
        <v>562</v>
      </c>
      <c r="I105" s="7" t="n">
        <v>2499</v>
      </c>
      <c r="J105" s="7" t="n">
        <v>5600</v>
      </c>
      <c r="K105" s="6" t="n">
        <v>0</v>
      </c>
      <c r="L105" s="6" t="n">
        <v>2</v>
      </c>
      <c r="M105" s="6" t="s">
        <v>840</v>
      </c>
      <c r="N105" s="6" t="s">
        <v>841</v>
      </c>
      <c r="O105" s="8" t="b">
        <f aca="false">TRUE()</f>
        <v>1</v>
      </c>
      <c r="P105" s="6" t="s">
        <v>842</v>
      </c>
      <c r="Q105" s="6" t="s">
        <v>264</v>
      </c>
      <c r="R105" s="6" t="s">
        <v>264</v>
      </c>
      <c r="S105" s="10" t="b">
        <f aca="false">TRUE()</f>
        <v>1</v>
      </c>
      <c r="T105" s="6" t="s">
        <v>843</v>
      </c>
      <c r="U105" s="6" t="s">
        <v>108</v>
      </c>
      <c r="V105" s="6" t="s">
        <v>844</v>
      </c>
      <c r="W105" s="6" t="s">
        <v>92</v>
      </c>
    </row>
    <row r="106" customFormat="false" ht="15" hidden="false" customHeight="false" outlineLevel="0" collapsed="false">
      <c r="A106" s="6" t="s">
        <v>845</v>
      </c>
      <c r="B106" s="6" t="s">
        <v>846</v>
      </c>
      <c r="C106" s="6" t="s">
        <v>847</v>
      </c>
      <c r="D106" s="6" t="s">
        <v>39</v>
      </c>
      <c r="E106" s="6" t="s">
        <v>40</v>
      </c>
      <c r="F106" s="6"/>
      <c r="G106" s="6"/>
      <c r="H106" s="6" t="s">
        <v>165</v>
      </c>
      <c r="I106" s="7" t="n">
        <v>5000</v>
      </c>
      <c r="J106" s="7" t="n">
        <v>5600</v>
      </c>
      <c r="K106" s="6" t="n">
        <v>0</v>
      </c>
      <c r="L106" s="6" t="n">
        <v>2</v>
      </c>
      <c r="M106" s="6" t="s">
        <v>848</v>
      </c>
      <c r="N106" s="6" t="s">
        <v>849</v>
      </c>
      <c r="O106" s="8" t="b">
        <f aca="false">TRUE()</f>
        <v>1</v>
      </c>
      <c r="P106" s="6" t="s">
        <v>850</v>
      </c>
      <c r="Q106" s="6" t="s">
        <v>264</v>
      </c>
      <c r="R106" s="6" t="s">
        <v>264</v>
      </c>
      <c r="S106" s="10" t="b">
        <f aca="false">TRUE()</f>
        <v>1</v>
      </c>
      <c r="T106" s="6" t="s">
        <v>851</v>
      </c>
      <c r="U106" s="6" t="s">
        <v>108</v>
      </c>
      <c r="V106" s="6" t="s">
        <v>852</v>
      </c>
      <c r="W106" s="6" t="s">
        <v>92</v>
      </c>
    </row>
    <row r="107" customFormat="false" ht="15" hidden="false" customHeight="false" outlineLevel="0" collapsed="false">
      <c r="A107" s="6" t="s">
        <v>853</v>
      </c>
      <c r="B107" s="6" t="s">
        <v>854</v>
      </c>
      <c r="C107" s="6" t="s">
        <v>855</v>
      </c>
      <c r="D107" s="6" t="s">
        <v>39</v>
      </c>
      <c r="E107" s="6" t="s">
        <v>40</v>
      </c>
      <c r="F107" s="6"/>
      <c r="G107" s="6"/>
      <c r="H107" s="6" t="s">
        <v>534</v>
      </c>
      <c r="I107" s="7" t="n">
        <v>2499</v>
      </c>
      <c r="J107" s="7" t="n">
        <v>2999</v>
      </c>
      <c r="K107" s="6" t="n">
        <v>0</v>
      </c>
      <c r="L107" s="6" t="n">
        <v>2</v>
      </c>
      <c r="M107" s="6" t="s">
        <v>345</v>
      </c>
      <c r="N107" s="6" t="s">
        <v>856</v>
      </c>
      <c r="O107" s="8" t="b">
        <f aca="false">TRUE()</f>
        <v>1</v>
      </c>
      <c r="P107" s="6" t="s">
        <v>857</v>
      </c>
      <c r="Q107" s="6" t="s">
        <v>264</v>
      </c>
      <c r="R107" s="6" t="s">
        <v>264</v>
      </c>
      <c r="S107" s="10" t="b">
        <f aca="false">TRUE()</f>
        <v>1</v>
      </c>
      <c r="T107" s="6" t="s">
        <v>858</v>
      </c>
      <c r="U107" s="6" t="s">
        <v>108</v>
      </c>
      <c r="V107" s="6" t="s">
        <v>859</v>
      </c>
      <c r="W107" s="6" t="s">
        <v>92</v>
      </c>
    </row>
    <row r="108" customFormat="false" ht="15" hidden="false" customHeight="false" outlineLevel="0" collapsed="false">
      <c r="A108" s="6" t="s">
        <v>860</v>
      </c>
      <c r="B108" s="6" t="s">
        <v>861</v>
      </c>
      <c r="C108" s="6" t="s">
        <v>862</v>
      </c>
      <c r="D108" s="6" t="s">
        <v>39</v>
      </c>
      <c r="E108" s="6" t="s">
        <v>40</v>
      </c>
      <c r="F108" s="6"/>
      <c r="G108" s="6"/>
      <c r="H108" s="6" t="s">
        <v>189</v>
      </c>
      <c r="I108" s="7" t="n">
        <v>5000</v>
      </c>
      <c r="J108" s="7" t="n">
        <v>5600</v>
      </c>
      <c r="K108" s="6" t="n">
        <v>0</v>
      </c>
      <c r="L108" s="6" t="n">
        <v>2</v>
      </c>
      <c r="M108" s="6" t="s">
        <v>157</v>
      </c>
      <c r="N108" s="6" t="s">
        <v>863</v>
      </c>
      <c r="O108" s="8" t="b">
        <f aca="false">TRUE()</f>
        <v>1</v>
      </c>
      <c r="P108" s="6" t="s">
        <v>864</v>
      </c>
      <c r="Q108" s="6" t="s">
        <v>264</v>
      </c>
      <c r="R108" s="6" t="s">
        <v>264</v>
      </c>
      <c r="S108" s="10" t="b">
        <f aca="false">TRUE()</f>
        <v>1</v>
      </c>
      <c r="T108" s="6" t="s">
        <v>865</v>
      </c>
      <c r="U108" s="6" t="s">
        <v>108</v>
      </c>
      <c r="V108" s="6" t="s">
        <v>866</v>
      </c>
      <c r="W108" s="6" t="s">
        <v>92</v>
      </c>
    </row>
    <row r="109" customFormat="false" ht="15" hidden="false" customHeight="false" outlineLevel="0" collapsed="false">
      <c r="A109" s="6" t="s">
        <v>867</v>
      </c>
      <c r="B109" s="6" t="s">
        <v>868</v>
      </c>
      <c r="C109" s="6" t="s">
        <v>869</v>
      </c>
      <c r="D109" s="6" t="s">
        <v>39</v>
      </c>
      <c r="E109" s="6" t="s">
        <v>40</v>
      </c>
      <c r="F109" s="6"/>
      <c r="G109" s="6"/>
      <c r="H109" s="6" t="s">
        <v>165</v>
      </c>
      <c r="I109" s="7" t="n">
        <v>2999</v>
      </c>
      <c r="J109" s="7" t="n">
        <v>2999</v>
      </c>
      <c r="K109" s="6" t="n">
        <v>0</v>
      </c>
      <c r="L109" s="6" t="n">
        <v>1</v>
      </c>
      <c r="M109" s="6" t="s">
        <v>870</v>
      </c>
      <c r="N109" s="6" t="s">
        <v>871</v>
      </c>
      <c r="O109" s="8" t="b">
        <f aca="false">TRUE()</f>
        <v>1</v>
      </c>
      <c r="P109" s="6" t="s">
        <v>872</v>
      </c>
      <c r="Q109" s="6" t="s">
        <v>264</v>
      </c>
      <c r="R109" s="6" t="s">
        <v>264</v>
      </c>
      <c r="S109" s="10" t="b">
        <f aca="false">TRUE()</f>
        <v>1</v>
      </c>
      <c r="T109" s="6" t="s">
        <v>873</v>
      </c>
      <c r="U109" s="6" t="s">
        <v>108</v>
      </c>
      <c r="V109" s="6" t="s">
        <v>874</v>
      </c>
      <c r="W109" s="6" t="s">
        <v>92</v>
      </c>
    </row>
    <row r="110" customFormat="false" ht="15" hidden="false" customHeight="false" outlineLevel="0" collapsed="false">
      <c r="A110" s="6" t="s">
        <v>875</v>
      </c>
      <c r="B110" s="6" t="s">
        <v>876</v>
      </c>
      <c r="C110" s="6" t="s">
        <v>877</v>
      </c>
      <c r="D110" s="6" t="s">
        <v>39</v>
      </c>
      <c r="E110" s="6" t="s">
        <v>40</v>
      </c>
      <c r="F110" s="6"/>
      <c r="G110" s="6"/>
      <c r="H110" s="6" t="s">
        <v>214</v>
      </c>
      <c r="I110" s="7" t="n">
        <v>1999</v>
      </c>
      <c r="J110" s="7" t="n">
        <v>3999</v>
      </c>
      <c r="K110" s="6" t="n">
        <v>0</v>
      </c>
      <c r="L110" s="6" t="n">
        <v>3</v>
      </c>
      <c r="M110" s="6" t="s">
        <v>166</v>
      </c>
      <c r="N110" s="6" t="s">
        <v>878</v>
      </c>
      <c r="O110" s="8" t="b">
        <f aca="false">TRUE()</f>
        <v>1</v>
      </c>
      <c r="P110" s="6" t="s">
        <v>879</v>
      </c>
      <c r="Q110" s="6" t="s">
        <v>264</v>
      </c>
      <c r="R110" s="6" t="s">
        <v>264</v>
      </c>
      <c r="S110" s="10" t="b">
        <f aca="false">TRUE()</f>
        <v>1</v>
      </c>
      <c r="T110" s="6" t="s">
        <v>880</v>
      </c>
      <c r="U110" s="6" t="s">
        <v>108</v>
      </c>
      <c r="V110" s="6" t="s">
        <v>881</v>
      </c>
      <c r="W110" s="6" t="s">
        <v>92</v>
      </c>
    </row>
    <row r="111" customFormat="false" ht="15" hidden="false" customHeight="false" outlineLevel="0" collapsed="false">
      <c r="A111" s="6" t="s">
        <v>882</v>
      </c>
      <c r="B111" s="6" t="s">
        <v>883</v>
      </c>
      <c r="C111" s="6" t="s">
        <v>884</v>
      </c>
      <c r="D111" s="6" t="s">
        <v>39</v>
      </c>
      <c r="E111" s="6" t="s">
        <v>40</v>
      </c>
      <c r="F111" s="6"/>
      <c r="G111" s="6"/>
      <c r="H111" s="6" t="s">
        <v>214</v>
      </c>
      <c r="I111" s="7" t="n">
        <v>2499</v>
      </c>
      <c r="J111" s="7" t="n">
        <v>5600</v>
      </c>
      <c r="K111" s="6" t="n">
        <v>0</v>
      </c>
      <c r="L111" s="6" t="n">
        <v>2</v>
      </c>
      <c r="M111" s="6" t="s">
        <v>302</v>
      </c>
      <c r="N111" s="6" t="s">
        <v>885</v>
      </c>
      <c r="O111" s="8" t="b">
        <f aca="false">TRUE()</f>
        <v>1</v>
      </c>
      <c r="P111" s="6" t="s">
        <v>886</v>
      </c>
      <c r="Q111" s="6" t="s">
        <v>264</v>
      </c>
      <c r="R111" s="6" t="s">
        <v>264</v>
      </c>
      <c r="S111" s="10" t="b">
        <f aca="false">TRUE()</f>
        <v>1</v>
      </c>
      <c r="T111" s="6" t="s">
        <v>887</v>
      </c>
      <c r="U111" s="6" t="s">
        <v>108</v>
      </c>
      <c r="V111" s="6" t="s">
        <v>888</v>
      </c>
      <c r="W111" s="6" t="s">
        <v>92</v>
      </c>
    </row>
    <row r="112" customFormat="false" ht="15" hidden="false" customHeight="false" outlineLevel="0" collapsed="false">
      <c r="A112" s="6" t="s">
        <v>889</v>
      </c>
      <c r="B112" s="6" t="s">
        <v>890</v>
      </c>
      <c r="C112" s="6" t="s">
        <v>891</v>
      </c>
      <c r="D112" s="6" t="s">
        <v>39</v>
      </c>
      <c r="E112" s="6" t="s">
        <v>40</v>
      </c>
      <c r="F112" s="6"/>
      <c r="G112" s="6"/>
      <c r="H112" s="6" t="s">
        <v>534</v>
      </c>
      <c r="I112" s="7" t="n">
        <v>5000</v>
      </c>
      <c r="J112" s="7" t="n">
        <v>5600</v>
      </c>
      <c r="K112" s="6" t="n">
        <v>0</v>
      </c>
      <c r="L112" s="6" t="n">
        <v>2</v>
      </c>
      <c r="M112" s="6" t="s">
        <v>157</v>
      </c>
      <c r="N112" s="6" t="s">
        <v>892</v>
      </c>
      <c r="O112" s="8" t="b">
        <f aca="false">TRUE()</f>
        <v>1</v>
      </c>
      <c r="P112" s="6" t="s">
        <v>893</v>
      </c>
      <c r="Q112" s="6" t="s">
        <v>264</v>
      </c>
      <c r="R112" s="6" t="s">
        <v>264</v>
      </c>
      <c r="S112" s="10" t="b">
        <f aca="false">TRUE()</f>
        <v>1</v>
      </c>
      <c r="T112" s="6" t="s">
        <v>894</v>
      </c>
      <c r="U112" s="6" t="s">
        <v>108</v>
      </c>
      <c r="V112" s="6" t="s">
        <v>895</v>
      </c>
      <c r="W112" s="6" t="s">
        <v>92</v>
      </c>
    </row>
    <row r="113" customFormat="false" ht="15" hidden="false" customHeight="false" outlineLevel="0" collapsed="false">
      <c r="A113" s="6" t="s">
        <v>896</v>
      </c>
      <c r="B113" s="6" t="s">
        <v>897</v>
      </c>
      <c r="C113" s="6" t="s">
        <v>898</v>
      </c>
      <c r="D113" s="6" t="s">
        <v>39</v>
      </c>
      <c r="E113" s="6" t="s">
        <v>40</v>
      </c>
      <c r="F113" s="6"/>
      <c r="G113" s="6"/>
      <c r="H113" s="6" t="s">
        <v>113</v>
      </c>
      <c r="I113" s="7" t="n">
        <v>1999</v>
      </c>
      <c r="J113" s="7" t="n">
        <v>3999</v>
      </c>
      <c r="K113" s="6" t="n">
        <v>0</v>
      </c>
      <c r="L113" s="6" t="n">
        <v>3</v>
      </c>
      <c r="M113" s="6" t="s">
        <v>353</v>
      </c>
      <c r="N113" s="6" t="s">
        <v>899</v>
      </c>
      <c r="O113" s="8" t="b">
        <f aca="false">TRUE()</f>
        <v>1</v>
      </c>
      <c r="P113" s="6" t="s">
        <v>900</v>
      </c>
      <c r="Q113" s="6" t="s">
        <v>264</v>
      </c>
      <c r="R113" s="6" t="s">
        <v>264</v>
      </c>
      <c r="S113" s="10" t="b">
        <f aca="false">TRUE()</f>
        <v>1</v>
      </c>
      <c r="T113" s="6" t="s">
        <v>901</v>
      </c>
      <c r="U113" s="6" t="s">
        <v>108</v>
      </c>
      <c r="V113" s="6" t="s">
        <v>902</v>
      </c>
      <c r="W113" s="6" t="s">
        <v>92</v>
      </c>
    </row>
    <row r="114" customFormat="false" ht="15" hidden="false" customHeight="false" outlineLevel="0" collapsed="false">
      <c r="A114" s="6" t="s">
        <v>903</v>
      </c>
      <c r="B114" s="6" t="s">
        <v>904</v>
      </c>
      <c r="C114" s="6" t="s">
        <v>905</v>
      </c>
      <c r="D114" s="6" t="s">
        <v>39</v>
      </c>
      <c r="E114" s="6" t="s">
        <v>40</v>
      </c>
      <c r="F114" s="6"/>
      <c r="G114" s="6"/>
      <c r="H114" s="6" t="s">
        <v>222</v>
      </c>
      <c r="I114" s="7" t="n">
        <v>5600</v>
      </c>
      <c r="J114" s="7" t="n">
        <v>5600</v>
      </c>
      <c r="K114" s="6" t="n">
        <v>0</v>
      </c>
      <c r="L114" s="6" t="n">
        <v>1</v>
      </c>
      <c r="M114" s="6" t="s">
        <v>906</v>
      </c>
      <c r="N114" s="6" t="s">
        <v>907</v>
      </c>
      <c r="O114" s="8" t="b">
        <f aca="false">TRUE()</f>
        <v>1</v>
      </c>
      <c r="P114" s="6" t="s">
        <v>908</v>
      </c>
      <c r="Q114" s="6" t="s">
        <v>264</v>
      </c>
      <c r="R114" s="6" t="s">
        <v>264</v>
      </c>
      <c r="S114" s="10" t="b">
        <f aca="false">TRUE()</f>
        <v>1</v>
      </c>
      <c r="T114" s="6" t="s">
        <v>909</v>
      </c>
      <c r="U114" s="6" t="s">
        <v>108</v>
      </c>
      <c r="V114" s="6" t="s">
        <v>910</v>
      </c>
      <c r="W114" s="6" t="s">
        <v>92</v>
      </c>
    </row>
    <row r="115" customFormat="false" ht="15" hidden="false" customHeight="false" outlineLevel="0" collapsed="false">
      <c r="A115" s="6" t="s">
        <v>911</v>
      </c>
      <c r="B115" s="6" t="s">
        <v>912</v>
      </c>
      <c r="C115" s="6" t="s">
        <v>913</v>
      </c>
      <c r="D115" s="6" t="s">
        <v>39</v>
      </c>
      <c r="E115" s="6" t="s">
        <v>40</v>
      </c>
      <c r="F115" s="6"/>
      <c r="G115" s="6"/>
      <c r="H115" s="6" t="s">
        <v>214</v>
      </c>
      <c r="I115" s="7" t="n">
        <v>5000</v>
      </c>
      <c r="J115" s="7" t="n">
        <v>5600</v>
      </c>
      <c r="K115" s="6" t="n">
        <v>0</v>
      </c>
      <c r="L115" s="6" t="n">
        <v>2</v>
      </c>
      <c r="M115" s="6" t="s">
        <v>631</v>
      </c>
      <c r="N115" s="6" t="s">
        <v>914</v>
      </c>
      <c r="O115" s="8" t="b">
        <f aca="false">TRUE()</f>
        <v>1</v>
      </c>
      <c r="P115" s="6" t="s">
        <v>915</v>
      </c>
      <c r="Q115" s="6" t="s">
        <v>264</v>
      </c>
      <c r="R115" s="6" t="s">
        <v>264</v>
      </c>
      <c r="S115" s="10" t="b">
        <f aca="false">TRUE()</f>
        <v>1</v>
      </c>
      <c r="T115" s="6" t="s">
        <v>916</v>
      </c>
      <c r="U115" s="6" t="s">
        <v>108</v>
      </c>
      <c r="V115" s="6" t="s">
        <v>917</v>
      </c>
      <c r="W115" s="6" t="s">
        <v>92</v>
      </c>
    </row>
    <row r="116" customFormat="false" ht="15" hidden="false" customHeight="false" outlineLevel="0" collapsed="false">
      <c r="A116" s="6" t="s">
        <v>918</v>
      </c>
      <c r="B116" s="6" t="s">
        <v>919</v>
      </c>
      <c r="C116" s="6" t="s">
        <v>920</v>
      </c>
      <c r="D116" s="6" t="s">
        <v>39</v>
      </c>
      <c r="E116" s="6" t="s">
        <v>40</v>
      </c>
      <c r="F116" s="6"/>
      <c r="G116" s="6"/>
      <c r="H116" s="6" t="s">
        <v>921</v>
      </c>
      <c r="I116" s="7" t="n">
        <v>1999</v>
      </c>
      <c r="J116" s="7" t="n">
        <v>3999</v>
      </c>
      <c r="K116" s="6" t="n">
        <v>0</v>
      </c>
      <c r="L116" s="6" t="n">
        <v>3</v>
      </c>
      <c r="M116" s="6" t="s">
        <v>130</v>
      </c>
      <c r="N116" s="6" t="s">
        <v>922</v>
      </c>
      <c r="O116" s="8" t="b">
        <f aca="false">TRUE()</f>
        <v>1</v>
      </c>
      <c r="P116" s="6" t="s">
        <v>923</v>
      </c>
      <c r="Q116" s="6" t="s">
        <v>264</v>
      </c>
      <c r="R116" s="6" t="s">
        <v>264</v>
      </c>
      <c r="S116" s="9" t="b">
        <f aca="false">FALSE()</f>
        <v>0</v>
      </c>
      <c r="T116" s="6"/>
      <c r="U116" s="6"/>
      <c r="V116" s="6"/>
      <c r="W116" s="6"/>
    </row>
    <row r="117" customFormat="false" ht="15" hidden="false" customHeight="false" outlineLevel="0" collapsed="false">
      <c r="A117" s="6" t="s">
        <v>924</v>
      </c>
      <c r="B117" s="6" t="s">
        <v>925</v>
      </c>
      <c r="C117" s="6" t="s">
        <v>926</v>
      </c>
      <c r="D117" s="6" t="s">
        <v>39</v>
      </c>
      <c r="E117" s="6" t="s">
        <v>40</v>
      </c>
      <c r="F117" s="6"/>
      <c r="G117" s="6"/>
      <c r="H117" s="6" t="s">
        <v>222</v>
      </c>
      <c r="I117" s="7" t="n">
        <v>2499</v>
      </c>
      <c r="J117" s="7" t="n">
        <v>2999</v>
      </c>
      <c r="K117" s="6" t="n">
        <v>0</v>
      </c>
      <c r="L117" s="6" t="n">
        <v>2</v>
      </c>
      <c r="M117" s="6" t="s">
        <v>927</v>
      </c>
      <c r="N117" s="6" t="s">
        <v>928</v>
      </c>
      <c r="O117" s="8" t="b">
        <f aca="false">TRUE()</f>
        <v>1</v>
      </c>
      <c r="P117" s="6" t="s">
        <v>929</v>
      </c>
      <c r="Q117" s="6" t="s">
        <v>264</v>
      </c>
      <c r="R117" s="6" t="s">
        <v>264</v>
      </c>
      <c r="S117" s="10" t="b">
        <f aca="false">TRUE()</f>
        <v>1</v>
      </c>
      <c r="T117" s="6" t="s">
        <v>930</v>
      </c>
      <c r="U117" s="6" t="s">
        <v>108</v>
      </c>
      <c r="V117" s="6" t="s">
        <v>931</v>
      </c>
      <c r="W117" s="6" t="s">
        <v>92</v>
      </c>
    </row>
    <row r="118" customFormat="false" ht="15" hidden="false" customHeight="false" outlineLevel="0" collapsed="false">
      <c r="A118" s="6" t="s">
        <v>932</v>
      </c>
      <c r="B118" s="6" t="s">
        <v>933</v>
      </c>
      <c r="C118" s="6" t="s">
        <v>934</v>
      </c>
      <c r="D118" s="6" t="s">
        <v>39</v>
      </c>
      <c r="E118" s="6" t="s">
        <v>40</v>
      </c>
      <c r="F118" s="6"/>
      <c r="G118" s="6"/>
      <c r="H118" s="6" t="s">
        <v>165</v>
      </c>
      <c r="I118" s="7" t="n">
        <v>1499</v>
      </c>
      <c r="J118" s="7" t="n">
        <v>2999</v>
      </c>
      <c r="K118" s="6" t="n">
        <v>0</v>
      </c>
      <c r="L118" s="6" t="n">
        <v>3</v>
      </c>
      <c r="M118" s="6" t="s">
        <v>270</v>
      </c>
      <c r="N118" s="6" t="s">
        <v>935</v>
      </c>
      <c r="O118" s="8" t="b">
        <f aca="false">TRUE()</f>
        <v>1</v>
      </c>
      <c r="P118" s="6" t="s">
        <v>936</v>
      </c>
      <c r="Q118" s="6" t="s">
        <v>264</v>
      </c>
      <c r="R118" s="6" t="s">
        <v>264</v>
      </c>
      <c r="S118" s="10" t="b">
        <f aca="false">TRUE()</f>
        <v>1</v>
      </c>
      <c r="T118" s="6" t="s">
        <v>937</v>
      </c>
      <c r="U118" s="6" t="s">
        <v>108</v>
      </c>
      <c r="V118" s="6" t="s">
        <v>938</v>
      </c>
      <c r="W118" s="6" t="s">
        <v>75</v>
      </c>
    </row>
    <row r="119" customFormat="false" ht="15" hidden="false" customHeight="false" outlineLevel="0" collapsed="false">
      <c r="A119" s="6" t="s">
        <v>939</v>
      </c>
      <c r="B119" s="6" t="s">
        <v>940</v>
      </c>
      <c r="C119" s="6" t="s">
        <v>941</v>
      </c>
      <c r="D119" s="6" t="s">
        <v>39</v>
      </c>
      <c r="E119" s="6" t="s">
        <v>40</v>
      </c>
      <c r="F119" s="6"/>
      <c r="G119" s="6"/>
      <c r="H119" s="6" t="s">
        <v>113</v>
      </c>
      <c r="I119" s="7" t="n">
        <v>4499</v>
      </c>
      <c r="J119" s="7" t="n">
        <v>8499</v>
      </c>
      <c r="K119" s="6" t="n">
        <v>0</v>
      </c>
      <c r="L119" s="6" t="n">
        <v>3</v>
      </c>
      <c r="M119" s="6" t="s">
        <v>942</v>
      </c>
      <c r="N119" s="6" t="s">
        <v>943</v>
      </c>
      <c r="O119" s="8" t="b">
        <f aca="false">TRUE()</f>
        <v>1</v>
      </c>
      <c r="P119" s="6" t="s">
        <v>944</v>
      </c>
      <c r="Q119" s="6" t="s">
        <v>264</v>
      </c>
      <c r="R119" s="6" t="s">
        <v>264</v>
      </c>
      <c r="S119" s="10" t="b">
        <f aca="false">TRUE()</f>
        <v>1</v>
      </c>
      <c r="T119" s="6" t="s">
        <v>945</v>
      </c>
      <c r="U119" s="6" t="s">
        <v>108</v>
      </c>
      <c r="V119" s="6" t="s">
        <v>946</v>
      </c>
      <c r="W119" s="6" t="s">
        <v>92</v>
      </c>
    </row>
    <row r="120" customFormat="false" ht="15" hidden="false" customHeight="false" outlineLevel="0" collapsed="false">
      <c r="A120" s="6" t="s">
        <v>947</v>
      </c>
      <c r="B120" s="6" t="s">
        <v>948</v>
      </c>
      <c r="C120" s="6" t="s">
        <v>949</v>
      </c>
      <c r="D120" s="6" t="s">
        <v>39</v>
      </c>
      <c r="E120" s="6" t="s">
        <v>40</v>
      </c>
      <c r="F120" s="6"/>
      <c r="G120" s="6"/>
      <c r="H120" s="6" t="s">
        <v>534</v>
      </c>
      <c r="I120" s="7" t="n">
        <v>2499</v>
      </c>
      <c r="J120" s="7" t="n">
        <v>3499</v>
      </c>
      <c r="K120" s="6" t="n">
        <v>0</v>
      </c>
      <c r="L120" s="6" t="n">
        <v>2</v>
      </c>
      <c r="M120" s="6" t="s">
        <v>950</v>
      </c>
      <c r="N120" s="6" t="s">
        <v>951</v>
      </c>
      <c r="O120" s="8" t="b">
        <f aca="false">TRUE()</f>
        <v>1</v>
      </c>
      <c r="P120" s="6" t="s">
        <v>952</v>
      </c>
      <c r="Q120" s="6" t="s">
        <v>264</v>
      </c>
      <c r="R120" s="6" t="s">
        <v>264</v>
      </c>
      <c r="S120" s="10" t="b">
        <f aca="false">TRUE()</f>
        <v>1</v>
      </c>
      <c r="T120" s="6" t="s">
        <v>953</v>
      </c>
      <c r="U120" s="6" t="s">
        <v>108</v>
      </c>
      <c r="V120" s="6" t="s">
        <v>954</v>
      </c>
      <c r="W120" s="6" t="s">
        <v>92</v>
      </c>
    </row>
    <row r="121" customFormat="false" ht="15" hidden="false" customHeight="false" outlineLevel="0" collapsed="false">
      <c r="A121" s="6" t="s">
        <v>955</v>
      </c>
      <c r="B121" s="6" t="s">
        <v>956</v>
      </c>
      <c r="C121" s="6" t="s">
        <v>957</v>
      </c>
      <c r="D121" s="6" t="s">
        <v>39</v>
      </c>
      <c r="E121" s="6" t="s">
        <v>40</v>
      </c>
      <c r="F121" s="6"/>
      <c r="G121" s="6"/>
      <c r="H121" s="6" t="s">
        <v>562</v>
      </c>
      <c r="I121" s="7" t="n">
        <v>5600</v>
      </c>
      <c r="J121" s="7" t="n">
        <v>5600</v>
      </c>
      <c r="K121" s="6" t="n">
        <v>0</v>
      </c>
      <c r="L121" s="6" t="n">
        <v>1</v>
      </c>
      <c r="M121" s="6" t="s">
        <v>454</v>
      </c>
      <c r="N121" s="6" t="s">
        <v>958</v>
      </c>
      <c r="O121" s="8" t="b">
        <f aca="false">TRUE()</f>
        <v>1</v>
      </c>
      <c r="P121" s="6" t="s">
        <v>959</v>
      </c>
      <c r="Q121" s="6" t="s">
        <v>264</v>
      </c>
      <c r="R121" s="6" t="s">
        <v>264</v>
      </c>
      <c r="S121" s="10" t="b">
        <f aca="false">TRUE()</f>
        <v>1</v>
      </c>
      <c r="T121" s="6" t="s">
        <v>960</v>
      </c>
      <c r="U121" s="6" t="s">
        <v>108</v>
      </c>
      <c r="V121" s="6" t="s">
        <v>961</v>
      </c>
      <c r="W121" s="6" t="s">
        <v>92</v>
      </c>
    </row>
    <row r="122" customFormat="false" ht="15" hidden="false" customHeight="false" outlineLevel="0" collapsed="false">
      <c r="A122" s="6" t="s">
        <v>962</v>
      </c>
      <c r="B122" s="6" t="s">
        <v>963</v>
      </c>
      <c r="C122" s="6" t="s">
        <v>964</v>
      </c>
      <c r="D122" s="6" t="s">
        <v>39</v>
      </c>
      <c r="E122" s="6" t="s">
        <v>40</v>
      </c>
      <c r="F122" s="6"/>
      <c r="G122" s="6"/>
      <c r="H122" s="6" t="s">
        <v>965</v>
      </c>
      <c r="I122" s="7" t="n">
        <v>5000</v>
      </c>
      <c r="J122" s="7" t="n">
        <v>5600</v>
      </c>
      <c r="K122" s="6" t="n">
        <v>0</v>
      </c>
      <c r="L122" s="6" t="n">
        <v>2</v>
      </c>
      <c r="M122" s="6" t="s">
        <v>157</v>
      </c>
      <c r="N122" s="6" t="s">
        <v>966</v>
      </c>
      <c r="O122" s="8" t="b">
        <f aca="false">TRUE()</f>
        <v>1</v>
      </c>
      <c r="P122" s="6" t="s">
        <v>967</v>
      </c>
      <c r="Q122" s="6" t="s">
        <v>264</v>
      </c>
      <c r="R122" s="6" t="s">
        <v>264</v>
      </c>
      <c r="S122" s="10" t="b">
        <f aca="false">TRUE()</f>
        <v>1</v>
      </c>
      <c r="T122" s="6" t="s">
        <v>968</v>
      </c>
      <c r="U122" s="6" t="s">
        <v>108</v>
      </c>
      <c r="V122" s="6" t="s">
        <v>969</v>
      </c>
      <c r="W122" s="6" t="s">
        <v>92</v>
      </c>
    </row>
    <row r="123" customFormat="false" ht="15" hidden="false" customHeight="false" outlineLevel="0" collapsed="false">
      <c r="A123" s="6" t="s">
        <v>970</v>
      </c>
      <c r="B123" s="6" t="s">
        <v>971</v>
      </c>
      <c r="C123" s="6" t="s">
        <v>972</v>
      </c>
      <c r="D123" s="6" t="s">
        <v>39</v>
      </c>
      <c r="E123" s="6" t="s">
        <v>40</v>
      </c>
      <c r="F123" s="6"/>
      <c r="G123" s="6"/>
      <c r="H123" s="6" t="s">
        <v>156</v>
      </c>
      <c r="I123" s="7" t="n">
        <v>1499</v>
      </c>
      <c r="J123" s="7" t="n">
        <v>2999</v>
      </c>
      <c r="K123" s="6" t="n">
        <v>0</v>
      </c>
      <c r="L123" s="6" t="n">
        <v>3</v>
      </c>
      <c r="M123" s="6" t="s">
        <v>270</v>
      </c>
      <c r="N123" s="6" t="s">
        <v>973</v>
      </c>
      <c r="O123" s="8" t="b">
        <f aca="false">TRUE()</f>
        <v>1</v>
      </c>
      <c r="P123" s="6" t="s">
        <v>974</v>
      </c>
      <c r="Q123" s="6" t="s">
        <v>264</v>
      </c>
      <c r="R123" s="6" t="s">
        <v>264</v>
      </c>
      <c r="S123" s="10" t="b">
        <f aca="false">TRUE()</f>
        <v>1</v>
      </c>
      <c r="T123" s="6" t="s">
        <v>975</v>
      </c>
      <c r="U123" s="6" t="s">
        <v>108</v>
      </c>
      <c r="V123" s="6" t="s">
        <v>976</v>
      </c>
      <c r="W123" s="6" t="s">
        <v>92</v>
      </c>
    </row>
    <row r="124" customFormat="false" ht="15" hidden="false" customHeight="false" outlineLevel="0" collapsed="false">
      <c r="A124" s="6" t="s">
        <v>977</v>
      </c>
      <c r="B124" s="6" t="s">
        <v>978</v>
      </c>
      <c r="C124" s="6" t="s">
        <v>979</v>
      </c>
      <c r="D124" s="6" t="s">
        <v>39</v>
      </c>
      <c r="E124" s="6" t="s">
        <v>40</v>
      </c>
      <c r="F124" s="6"/>
      <c r="G124" s="6"/>
      <c r="H124" s="6" t="s">
        <v>165</v>
      </c>
      <c r="I124" s="7" t="n">
        <v>2999</v>
      </c>
      <c r="J124" s="7" t="n">
        <v>3999</v>
      </c>
      <c r="K124" s="6" t="n">
        <v>0</v>
      </c>
      <c r="L124" s="6" t="n">
        <v>2</v>
      </c>
      <c r="M124" s="6" t="s">
        <v>420</v>
      </c>
      <c r="N124" s="6" t="s">
        <v>980</v>
      </c>
      <c r="O124" s="8" t="b">
        <f aca="false">TRUE()</f>
        <v>1</v>
      </c>
      <c r="P124" s="6" t="s">
        <v>981</v>
      </c>
      <c r="Q124" s="6" t="s">
        <v>264</v>
      </c>
      <c r="R124" s="6" t="s">
        <v>264</v>
      </c>
      <c r="S124" s="10" t="b">
        <f aca="false">TRUE()</f>
        <v>1</v>
      </c>
      <c r="T124" s="6" t="s">
        <v>982</v>
      </c>
      <c r="U124" s="6" t="s">
        <v>108</v>
      </c>
      <c r="V124" s="6" t="s">
        <v>983</v>
      </c>
      <c r="W124" s="6" t="s">
        <v>92</v>
      </c>
    </row>
    <row r="125" customFormat="false" ht="15" hidden="false" customHeight="false" outlineLevel="0" collapsed="false">
      <c r="A125" s="6" t="s">
        <v>984</v>
      </c>
      <c r="B125" s="6" t="s">
        <v>985</v>
      </c>
      <c r="C125" s="6" t="s">
        <v>986</v>
      </c>
      <c r="D125" s="6" t="s">
        <v>39</v>
      </c>
      <c r="E125" s="6" t="s">
        <v>40</v>
      </c>
      <c r="F125" s="6"/>
      <c r="G125" s="6"/>
      <c r="H125" s="6" t="s">
        <v>214</v>
      </c>
      <c r="I125" s="7" t="n">
        <v>5000</v>
      </c>
      <c r="J125" s="7" t="n">
        <v>5600</v>
      </c>
      <c r="K125" s="6" t="n">
        <v>0</v>
      </c>
      <c r="L125" s="6" t="n">
        <v>2</v>
      </c>
      <c r="M125" s="6" t="s">
        <v>987</v>
      </c>
      <c r="N125" s="6" t="s">
        <v>988</v>
      </c>
      <c r="O125" s="8" t="b">
        <f aca="false">TRUE()</f>
        <v>1</v>
      </c>
      <c r="P125" s="6" t="s">
        <v>989</v>
      </c>
      <c r="Q125" s="6" t="s">
        <v>264</v>
      </c>
      <c r="R125" s="6" t="s">
        <v>264</v>
      </c>
      <c r="S125" s="10" t="b">
        <f aca="false">TRUE()</f>
        <v>1</v>
      </c>
      <c r="T125" s="6" t="s">
        <v>990</v>
      </c>
      <c r="U125" s="6" t="s">
        <v>108</v>
      </c>
      <c r="V125" s="6" t="s">
        <v>991</v>
      </c>
      <c r="W125" s="6" t="s">
        <v>358</v>
      </c>
    </row>
    <row r="126" customFormat="false" ht="15" hidden="false" customHeight="false" outlineLevel="0" collapsed="false">
      <c r="A126" s="6" t="s">
        <v>992</v>
      </c>
      <c r="B126" s="6" t="s">
        <v>993</v>
      </c>
      <c r="C126" s="6" t="s">
        <v>994</v>
      </c>
      <c r="D126" s="6" t="s">
        <v>39</v>
      </c>
      <c r="E126" s="6" t="s">
        <v>40</v>
      </c>
      <c r="F126" s="6"/>
      <c r="G126" s="6"/>
      <c r="H126" s="6" t="s">
        <v>995</v>
      </c>
      <c r="I126" s="7" t="n">
        <v>2499</v>
      </c>
      <c r="J126" s="7" t="n">
        <v>5600</v>
      </c>
      <c r="K126" s="6" t="n">
        <v>0</v>
      </c>
      <c r="L126" s="6" t="n">
        <v>2</v>
      </c>
      <c r="M126" s="6" t="s">
        <v>302</v>
      </c>
      <c r="N126" s="6" t="s">
        <v>996</v>
      </c>
      <c r="O126" s="8" t="b">
        <f aca="false">TRUE()</f>
        <v>1</v>
      </c>
      <c r="P126" s="6" t="s">
        <v>997</v>
      </c>
      <c r="Q126" s="6" t="s">
        <v>264</v>
      </c>
      <c r="R126" s="6" t="s">
        <v>264</v>
      </c>
      <c r="S126" s="10" t="b">
        <f aca="false">TRUE()</f>
        <v>1</v>
      </c>
      <c r="T126" s="6" t="s">
        <v>998</v>
      </c>
      <c r="U126" s="6" t="s">
        <v>108</v>
      </c>
      <c r="V126" s="6" t="s">
        <v>999</v>
      </c>
      <c r="W126" s="6" t="s">
        <v>92</v>
      </c>
    </row>
    <row r="127" customFormat="false" ht="15" hidden="false" customHeight="false" outlineLevel="0" collapsed="false">
      <c r="A127" s="6" t="s">
        <v>1000</v>
      </c>
      <c r="B127" s="6" t="s">
        <v>1001</v>
      </c>
      <c r="C127" s="6" t="s">
        <v>1002</v>
      </c>
      <c r="D127" s="6" t="s">
        <v>39</v>
      </c>
      <c r="E127" s="6" t="s">
        <v>40</v>
      </c>
      <c r="F127" s="6"/>
      <c r="G127" s="6"/>
      <c r="H127" s="6" t="s">
        <v>534</v>
      </c>
      <c r="I127" s="7" t="n">
        <v>2499</v>
      </c>
      <c r="J127" s="7" t="n">
        <v>5600</v>
      </c>
      <c r="K127" s="6" t="n">
        <v>0</v>
      </c>
      <c r="L127" s="6" t="n">
        <v>2</v>
      </c>
      <c r="M127" s="6" t="s">
        <v>199</v>
      </c>
      <c r="N127" s="6" t="s">
        <v>1003</v>
      </c>
      <c r="O127" s="8" t="b">
        <f aca="false">TRUE()</f>
        <v>1</v>
      </c>
      <c r="P127" s="6" t="s">
        <v>1004</v>
      </c>
      <c r="Q127" s="6" t="s">
        <v>264</v>
      </c>
      <c r="R127" s="6" t="s">
        <v>264</v>
      </c>
      <c r="S127" s="10" t="b">
        <f aca="false">TRUE()</f>
        <v>1</v>
      </c>
      <c r="T127" s="6" t="s">
        <v>1005</v>
      </c>
      <c r="U127" s="6" t="s">
        <v>108</v>
      </c>
      <c r="V127" s="6" t="s">
        <v>1006</v>
      </c>
      <c r="W127" s="6" t="s">
        <v>92</v>
      </c>
    </row>
    <row r="128" customFormat="false" ht="15" hidden="false" customHeight="false" outlineLevel="0" collapsed="false">
      <c r="A128" s="6" t="s">
        <v>1007</v>
      </c>
      <c r="B128" s="6" t="s">
        <v>1008</v>
      </c>
      <c r="C128" s="6" t="s">
        <v>1009</v>
      </c>
      <c r="D128" s="6" t="s">
        <v>39</v>
      </c>
      <c r="E128" s="6" t="s">
        <v>40</v>
      </c>
      <c r="F128" s="6"/>
      <c r="G128" s="6"/>
      <c r="H128" s="6" t="s">
        <v>453</v>
      </c>
      <c r="I128" s="7" t="n">
        <v>2999</v>
      </c>
      <c r="J128" s="7" t="n">
        <v>3999</v>
      </c>
      <c r="K128" s="6" t="n">
        <v>0</v>
      </c>
      <c r="L128" s="6" t="n">
        <v>2</v>
      </c>
      <c r="M128" s="6" t="s">
        <v>420</v>
      </c>
      <c r="N128" s="6" t="s">
        <v>1010</v>
      </c>
      <c r="O128" s="8" t="b">
        <f aca="false">TRUE()</f>
        <v>1</v>
      </c>
      <c r="P128" s="6" t="s">
        <v>1011</v>
      </c>
      <c r="Q128" s="6" t="s">
        <v>264</v>
      </c>
      <c r="R128" s="6" t="s">
        <v>264</v>
      </c>
      <c r="S128" s="10" t="b">
        <f aca="false">TRUE()</f>
        <v>1</v>
      </c>
      <c r="T128" s="6" t="s">
        <v>1012</v>
      </c>
      <c r="U128" s="6" t="s">
        <v>108</v>
      </c>
      <c r="V128" s="6" t="s">
        <v>1013</v>
      </c>
      <c r="W128" s="6" t="s">
        <v>92</v>
      </c>
    </row>
    <row r="129" customFormat="false" ht="15" hidden="false" customHeight="false" outlineLevel="0" collapsed="false">
      <c r="A129" s="6" t="s">
        <v>1014</v>
      </c>
      <c r="B129" s="6" t="s">
        <v>1015</v>
      </c>
      <c r="C129" s="6" t="s">
        <v>1016</v>
      </c>
      <c r="D129" s="6" t="s">
        <v>39</v>
      </c>
      <c r="E129" s="6" t="s">
        <v>40</v>
      </c>
      <c r="F129" s="6"/>
      <c r="G129" s="6"/>
      <c r="H129" s="6" t="s">
        <v>453</v>
      </c>
      <c r="I129" s="7" t="n">
        <v>2999</v>
      </c>
      <c r="J129" s="7" t="n">
        <v>3999</v>
      </c>
      <c r="K129" s="6" t="n">
        <v>0</v>
      </c>
      <c r="L129" s="6" t="n">
        <v>2</v>
      </c>
      <c r="M129" s="6" t="s">
        <v>1017</v>
      </c>
      <c r="N129" s="6" t="s">
        <v>1018</v>
      </c>
      <c r="O129" s="8" t="b">
        <f aca="false">TRUE()</f>
        <v>1</v>
      </c>
      <c r="P129" s="6" t="s">
        <v>1019</v>
      </c>
      <c r="Q129" s="6" t="s">
        <v>264</v>
      </c>
      <c r="R129" s="6" t="s">
        <v>264</v>
      </c>
      <c r="S129" s="10" t="b">
        <f aca="false">TRUE()</f>
        <v>1</v>
      </c>
      <c r="T129" s="6" t="s">
        <v>1020</v>
      </c>
      <c r="U129" s="6" t="s">
        <v>108</v>
      </c>
      <c r="V129" s="6" t="s">
        <v>1021</v>
      </c>
      <c r="W129" s="6" t="s">
        <v>92</v>
      </c>
    </row>
    <row r="130" customFormat="false" ht="15" hidden="false" customHeight="false" outlineLevel="0" collapsed="false">
      <c r="A130" s="6" t="s">
        <v>1022</v>
      </c>
      <c r="B130" s="6" t="s">
        <v>1023</v>
      </c>
      <c r="C130" s="6" t="s">
        <v>1024</v>
      </c>
      <c r="D130" s="6" t="s">
        <v>39</v>
      </c>
      <c r="E130" s="6" t="s">
        <v>40</v>
      </c>
      <c r="F130" s="6"/>
      <c r="G130" s="6"/>
      <c r="H130" s="6" t="s">
        <v>113</v>
      </c>
      <c r="I130" s="7" t="n">
        <v>1999</v>
      </c>
      <c r="J130" s="7" t="n">
        <v>3999</v>
      </c>
      <c r="K130" s="6" t="n">
        <v>0</v>
      </c>
      <c r="L130" s="6" t="n">
        <v>3</v>
      </c>
      <c r="M130" s="6" t="s">
        <v>223</v>
      </c>
      <c r="N130" s="6" t="s">
        <v>1025</v>
      </c>
      <c r="O130" s="8" t="b">
        <f aca="false">TRUE()</f>
        <v>1</v>
      </c>
      <c r="P130" s="6" t="s">
        <v>1026</v>
      </c>
      <c r="Q130" s="6" t="s">
        <v>264</v>
      </c>
      <c r="R130" s="6" t="s">
        <v>264</v>
      </c>
      <c r="S130" s="9" t="b">
        <f aca="false">FALSE()</f>
        <v>0</v>
      </c>
      <c r="T130" s="6"/>
      <c r="U130" s="6"/>
      <c r="V130" s="6"/>
      <c r="W130" s="6"/>
    </row>
    <row r="131" customFormat="false" ht="15" hidden="false" customHeight="false" outlineLevel="0" collapsed="false">
      <c r="A131" s="6" t="s">
        <v>480</v>
      </c>
      <c r="B131" s="6" t="s">
        <v>1027</v>
      </c>
      <c r="C131" s="6" t="s">
        <v>1028</v>
      </c>
      <c r="D131" s="6" t="s">
        <v>39</v>
      </c>
      <c r="E131" s="6" t="s">
        <v>40</v>
      </c>
      <c r="F131" s="6"/>
      <c r="G131" s="6" t="s">
        <v>41</v>
      </c>
      <c r="H131" s="6" t="s">
        <v>57</v>
      </c>
      <c r="I131" s="7" t="n">
        <v>3500</v>
      </c>
      <c r="J131" s="7" t="n">
        <v>5600</v>
      </c>
      <c r="K131" s="6" t="n">
        <v>0</v>
      </c>
      <c r="L131" s="6" t="n">
        <v>4</v>
      </c>
      <c r="M131" s="6" t="s">
        <v>1029</v>
      </c>
      <c r="N131" s="6" t="s">
        <v>1030</v>
      </c>
      <c r="O131" s="8" t="b">
        <f aca="false">TRUE()</f>
        <v>1</v>
      </c>
      <c r="P131" s="6" t="s">
        <v>1031</v>
      </c>
      <c r="Q131" s="6" t="s">
        <v>650</v>
      </c>
      <c r="R131" s="6" t="s">
        <v>650</v>
      </c>
      <c r="S131" s="9" t="b">
        <f aca="false">FALSE()</f>
        <v>0</v>
      </c>
      <c r="T131" s="6"/>
      <c r="U131" s="6"/>
      <c r="V131" s="6"/>
      <c r="W131" s="6"/>
    </row>
    <row r="132" customFormat="false" ht="15" hidden="false" customHeight="false" outlineLevel="0" collapsed="false">
      <c r="A132" s="6" t="s">
        <v>1032</v>
      </c>
      <c r="B132" s="6" t="s">
        <v>1033</v>
      </c>
      <c r="C132" s="6" t="s">
        <v>1034</v>
      </c>
      <c r="D132" s="6" t="s">
        <v>39</v>
      </c>
      <c r="E132" s="6" t="s">
        <v>40</v>
      </c>
      <c r="F132" s="6"/>
      <c r="G132" s="6" t="s">
        <v>41</v>
      </c>
      <c r="H132" s="6" t="s">
        <v>1035</v>
      </c>
      <c r="I132" s="7" t="n">
        <v>3500</v>
      </c>
      <c r="J132" s="7" t="n">
        <v>5600</v>
      </c>
      <c r="K132" s="6" t="n">
        <v>0</v>
      </c>
      <c r="L132" s="6" t="n">
        <v>4</v>
      </c>
      <c r="M132" s="6" t="s">
        <v>1036</v>
      </c>
      <c r="N132" s="6" t="s">
        <v>1037</v>
      </c>
      <c r="O132" s="8" t="b">
        <f aca="false">TRUE()</f>
        <v>1</v>
      </c>
      <c r="P132" s="6" t="s">
        <v>1038</v>
      </c>
      <c r="Q132" s="6" t="s">
        <v>650</v>
      </c>
      <c r="R132" s="6" t="s">
        <v>650</v>
      </c>
      <c r="S132" s="9" t="b">
        <f aca="false">FALSE()</f>
        <v>0</v>
      </c>
      <c r="T132" s="6"/>
      <c r="U132" s="6"/>
      <c r="V132" s="6"/>
      <c r="W132" s="6"/>
    </row>
    <row r="133" customFormat="false" ht="15" hidden="false" customHeight="false" outlineLevel="0" collapsed="false">
      <c r="A133" s="6" t="s">
        <v>1039</v>
      </c>
      <c r="B133" s="6" t="s">
        <v>1040</v>
      </c>
      <c r="C133" s="6" t="s">
        <v>1041</v>
      </c>
      <c r="D133" s="6" t="s">
        <v>39</v>
      </c>
      <c r="E133" s="6" t="s">
        <v>40</v>
      </c>
      <c r="F133" s="6"/>
      <c r="G133" s="6" t="s">
        <v>41</v>
      </c>
      <c r="H133" s="6" t="s">
        <v>1035</v>
      </c>
      <c r="I133" s="7" t="n">
        <v>3500</v>
      </c>
      <c r="J133" s="7" t="n">
        <v>5600</v>
      </c>
      <c r="K133" s="6" t="n">
        <v>0</v>
      </c>
      <c r="L133" s="6" t="n">
        <v>4</v>
      </c>
      <c r="M133" s="6" t="s">
        <v>1042</v>
      </c>
      <c r="N133" s="6" t="s">
        <v>1043</v>
      </c>
      <c r="O133" s="8" t="b">
        <f aca="false">TRUE()</f>
        <v>1</v>
      </c>
      <c r="P133" s="6" t="s">
        <v>1044</v>
      </c>
      <c r="Q133" s="6" t="s">
        <v>650</v>
      </c>
      <c r="R133" s="6" t="s">
        <v>650</v>
      </c>
      <c r="S133" s="9" t="b">
        <f aca="false">FALSE()</f>
        <v>0</v>
      </c>
      <c r="T133" s="6"/>
      <c r="U133" s="6"/>
      <c r="V133" s="6"/>
      <c r="W133" s="6"/>
    </row>
    <row r="134" customFormat="false" ht="15" hidden="false" customHeight="false" outlineLevel="0" collapsed="false">
      <c r="A134" s="6" t="s">
        <v>1045</v>
      </c>
      <c r="B134" s="6" t="s">
        <v>1046</v>
      </c>
      <c r="C134" s="6" t="s">
        <v>1047</v>
      </c>
      <c r="D134" s="6" t="s">
        <v>39</v>
      </c>
      <c r="E134" s="6" t="s">
        <v>40</v>
      </c>
      <c r="F134" s="6"/>
      <c r="G134" s="6" t="s">
        <v>41</v>
      </c>
      <c r="H134" s="6" t="s">
        <v>1048</v>
      </c>
      <c r="I134" s="7" t="n">
        <v>3500</v>
      </c>
      <c r="J134" s="7" t="n">
        <v>5600</v>
      </c>
      <c r="K134" s="6" t="n">
        <v>0</v>
      </c>
      <c r="L134" s="6" t="n">
        <v>4</v>
      </c>
      <c r="M134" s="6" t="s">
        <v>1049</v>
      </c>
      <c r="N134" s="6" t="s">
        <v>1050</v>
      </c>
      <c r="O134" s="8" t="b">
        <f aca="false">TRUE()</f>
        <v>1</v>
      </c>
      <c r="P134" s="6" t="s">
        <v>1051</v>
      </c>
      <c r="Q134" s="6" t="s">
        <v>650</v>
      </c>
      <c r="R134" s="6" t="s">
        <v>650</v>
      </c>
      <c r="S134" s="9" t="b">
        <f aca="false">FALSE()</f>
        <v>0</v>
      </c>
      <c r="T134" s="6"/>
      <c r="U134" s="6"/>
      <c r="V134" s="6"/>
      <c r="W134" s="6"/>
    </row>
    <row r="135" customFormat="false" ht="15" hidden="false" customHeight="false" outlineLevel="0" collapsed="false">
      <c r="A135" s="6" t="s">
        <v>1052</v>
      </c>
      <c r="B135" s="6" t="s">
        <v>1053</v>
      </c>
      <c r="C135" s="6" t="s">
        <v>1054</v>
      </c>
      <c r="D135" s="6" t="s">
        <v>39</v>
      </c>
      <c r="E135" s="6" t="s">
        <v>40</v>
      </c>
      <c r="F135" s="6"/>
      <c r="G135" s="6" t="s">
        <v>41</v>
      </c>
      <c r="H135" s="6" t="s">
        <v>1055</v>
      </c>
      <c r="I135" s="7" t="n">
        <v>3500</v>
      </c>
      <c r="J135" s="7" t="n">
        <v>5600</v>
      </c>
      <c r="K135" s="6" t="n">
        <v>0</v>
      </c>
      <c r="L135" s="6" t="n">
        <v>4</v>
      </c>
      <c r="M135" s="6" t="s">
        <v>1056</v>
      </c>
      <c r="N135" s="6" t="s">
        <v>1057</v>
      </c>
      <c r="O135" s="8" t="b">
        <f aca="false">TRUE()</f>
        <v>1</v>
      </c>
      <c r="P135" s="6" t="s">
        <v>1058</v>
      </c>
      <c r="Q135" s="6" t="s">
        <v>1059</v>
      </c>
      <c r="R135" s="6" t="s">
        <v>1059</v>
      </c>
      <c r="S135" s="9" t="b">
        <f aca="false">FALSE()</f>
        <v>0</v>
      </c>
      <c r="T135" s="6"/>
      <c r="U135" s="6"/>
      <c r="V135" s="6"/>
      <c r="W135" s="6"/>
    </row>
    <row r="136" customFormat="false" ht="15" hidden="false" customHeight="false" outlineLevel="0" collapsed="false">
      <c r="A136" s="6" t="s">
        <v>1060</v>
      </c>
      <c r="B136" s="6" t="s">
        <v>1061</v>
      </c>
      <c r="C136" s="6" t="s">
        <v>1062</v>
      </c>
      <c r="D136" s="6" t="s">
        <v>39</v>
      </c>
      <c r="E136" s="6" t="s">
        <v>40</v>
      </c>
      <c r="F136" s="6"/>
      <c r="G136" s="6" t="s">
        <v>41</v>
      </c>
      <c r="H136" s="6" t="s">
        <v>1063</v>
      </c>
      <c r="I136" s="7" t="n">
        <v>3500</v>
      </c>
      <c r="J136" s="7" t="n">
        <v>5600</v>
      </c>
      <c r="K136" s="6" t="n">
        <v>0</v>
      </c>
      <c r="L136" s="6" t="n">
        <v>4</v>
      </c>
      <c r="M136" s="6" t="s">
        <v>1056</v>
      </c>
      <c r="N136" s="6" t="s">
        <v>1064</v>
      </c>
      <c r="O136" s="8" t="b">
        <f aca="false">TRUE()</f>
        <v>1</v>
      </c>
      <c r="P136" s="6" t="s">
        <v>1065</v>
      </c>
      <c r="Q136" s="6" t="s">
        <v>1059</v>
      </c>
      <c r="R136" s="6" t="s">
        <v>1059</v>
      </c>
      <c r="S136" s="9" t="b">
        <f aca="false">FALSE()</f>
        <v>0</v>
      </c>
      <c r="T136" s="6"/>
      <c r="U136" s="6"/>
      <c r="V136" s="6"/>
      <c r="W136" s="6"/>
    </row>
    <row r="137" customFormat="false" ht="15" hidden="false" customHeight="false" outlineLevel="0" collapsed="false">
      <c r="A137" s="6" t="s">
        <v>1066</v>
      </c>
      <c r="B137" s="6" t="s">
        <v>1067</v>
      </c>
      <c r="C137" s="6" t="s">
        <v>1068</v>
      </c>
      <c r="D137" s="6" t="s">
        <v>39</v>
      </c>
      <c r="E137" s="6" t="s">
        <v>40</v>
      </c>
      <c r="F137" s="6"/>
      <c r="G137" s="6" t="s">
        <v>41</v>
      </c>
      <c r="H137" s="6" t="s">
        <v>1063</v>
      </c>
      <c r="I137" s="7" t="n">
        <v>3500</v>
      </c>
      <c r="J137" s="7" t="n">
        <v>5600</v>
      </c>
      <c r="K137" s="6" t="n">
        <v>0</v>
      </c>
      <c r="L137" s="6" t="n">
        <v>4</v>
      </c>
      <c r="M137" s="6" t="s">
        <v>1069</v>
      </c>
      <c r="N137" s="6" t="s">
        <v>1070</v>
      </c>
      <c r="O137" s="8" t="b">
        <f aca="false">TRUE()</f>
        <v>1</v>
      </c>
      <c r="P137" s="6" t="s">
        <v>1071</v>
      </c>
      <c r="Q137" s="6" t="s">
        <v>1059</v>
      </c>
      <c r="R137" s="6" t="s">
        <v>1059</v>
      </c>
      <c r="S137" s="9" t="b">
        <f aca="false">FALSE()</f>
        <v>0</v>
      </c>
      <c r="T137" s="6"/>
      <c r="U137" s="6"/>
      <c r="V137" s="6"/>
      <c r="W137" s="6"/>
    </row>
    <row r="138" customFormat="false" ht="15" hidden="false" customHeight="false" outlineLevel="0" collapsed="false">
      <c r="A138" s="6" t="s">
        <v>1072</v>
      </c>
      <c r="B138" s="6" t="s">
        <v>1073</v>
      </c>
      <c r="C138" s="6" t="s">
        <v>1074</v>
      </c>
      <c r="D138" s="6" t="s">
        <v>39</v>
      </c>
      <c r="E138" s="6" t="s">
        <v>40</v>
      </c>
      <c r="F138" s="6"/>
      <c r="G138" s="6" t="s">
        <v>41</v>
      </c>
      <c r="H138" s="6" t="s">
        <v>1063</v>
      </c>
      <c r="I138" s="7" t="n">
        <v>3500</v>
      </c>
      <c r="J138" s="7" t="n">
        <v>5600</v>
      </c>
      <c r="K138" s="6" t="n">
        <v>0</v>
      </c>
      <c r="L138" s="6" t="n">
        <v>4</v>
      </c>
      <c r="M138" s="6" t="s">
        <v>1069</v>
      </c>
      <c r="N138" s="6" t="s">
        <v>1075</v>
      </c>
      <c r="O138" s="8" t="b">
        <f aca="false">TRUE()</f>
        <v>1</v>
      </c>
      <c r="P138" s="6" t="s">
        <v>1076</v>
      </c>
      <c r="Q138" s="6" t="s">
        <v>1059</v>
      </c>
      <c r="R138" s="6" t="s">
        <v>1059</v>
      </c>
      <c r="S138" s="9" t="b">
        <f aca="false">FALSE()</f>
        <v>0</v>
      </c>
      <c r="T138" s="6"/>
      <c r="U138" s="6"/>
      <c r="V138" s="6"/>
      <c r="W138" s="6"/>
    </row>
    <row r="139" customFormat="false" ht="15" hidden="false" customHeight="false" outlineLevel="0" collapsed="false">
      <c r="A139" s="6" t="s">
        <v>1077</v>
      </c>
      <c r="B139" s="6" t="s">
        <v>1078</v>
      </c>
      <c r="C139" s="6" t="s">
        <v>1079</v>
      </c>
      <c r="D139" s="6" t="s">
        <v>39</v>
      </c>
      <c r="E139" s="6" t="s">
        <v>40</v>
      </c>
      <c r="F139" s="6"/>
      <c r="G139" s="6" t="s">
        <v>41</v>
      </c>
      <c r="H139" s="6" t="s">
        <v>1063</v>
      </c>
      <c r="I139" s="7" t="n">
        <v>3500</v>
      </c>
      <c r="J139" s="7" t="n">
        <v>5600</v>
      </c>
      <c r="K139" s="6" t="n">
        <v>0</v>
      </c>
      <c r="L139" s="6" t="n">
        <v>4</v>
      </c>
      <c r="M139" s="6" t="s">
        <v>1069</v>
      </c>
      <c r="N139" s="6" t="s">
        <v>1080</v>
      </c>
      <c r="O139" s="8" t="b">
        <f aca="false">TRUE()</f>
        <v>1</v>
      </c>
      <c r="P139" s="6" t="s">
        <v>1081</v>
      </c>
      <c r="Q139" s="6" t="s">
        <v>1059</v>
      </c>
      <c r="R139" s="6" t="s">
        <v>1059</v>
      </c>
      <c r="S139" s="9" t="b">
        <f aca="false">FALSE()</f>
        <v>0</v>
      </c>
      <c r="T139" s="6"/>
      <c r="U139" s="6"/>
      <c r="V139" s="6"/>
      <c r="W139" s="6"/>
    </row>
    <row r="140" customFormat="false" ht="15" hidden="false" customHeight="false" outlineLevel="0" collapsed="false">
      <c r="A140" s="6" t="s">
        <v>1082</v>
      </c>
      <c r="B140" s="6" t="s">
        <v>1083</v>
      </c>
      <c r="C140" s="6" t="s">
        <v>1084</v>
      </c>
      <c r="D140" s="6" t="s">
        <v>39</v>
      </c>
      <c r="E140" s="6" t="s">
        <v>40</v>
      </c>
      <c r="F140" s="6"/>
      <c r="G140" s="6" t="s">
        <v>41</v>
      </c>
      <c r="H140" s="6" t="s">
        <v>1063</v>
      </c>
      <c r="I140" s="7" t="n">
        <v>3500</v>
      </c>
      <c r="J140" s="7" t="n">
        <v>5600</v>
      </c>
      <c r="K140" s="6" t="n">
        <v>0</v>
      </c>
      <c r="L140" s="6" t="n">
        <v>4</v>
      </c>
      <c r="M140" s="6" t="s">
        <v>1069</v>
      </c>
      <c r="N140" s="6" t="s">
        <v>1085</v>
      </c>
      <c r="O140" s="8" t="b">
        <f aca="false">TRUE()</f>
        <v>1</v>
      </c>
      <c r="P140" s="6" t="s">
        <v>1086</v>
      </c>
      <c r="Q140" s="6" t="s">
        <v>1059</v>
      </c>
      <c r="R140" s="6" t="s">
        <v>1059</v>
      </c>
      <c r="S140" s="9" t="b">
        <f aca="false">FALSE()</f>
        <v>0</v>
      </c>
      <c r="T140" s="6"/>
      <c r="U140" s="6"/>
      <c r="V140" s="6"/>
      <c r="W140" s="6"/>
    </row>
    <row r="141" customFormat="false" ht="15" hidden="false" customHeight="false" outlineLevel="0" collapsed="false">
      <c r="A141" s="6" t="s">
        <v>1087</v>
      </c>
      <c r="B141" s="6" t="s">
        <v>1088</v>
      </c>
      <c r="C141" s="6" t="s">
        <v>1089</v>
      </c>
      <c r="D141" s="6" t="s">
        <v>39</v>
      </c>
      <c r="E141" s="6" t="s">
        <v>40</v>
      </c>
      <c r="F141" s="6"/>
      <c r="G141" s="6" t="s">
        <v>41</v>
      </c>
      <c r="H141" s="6" t="s">
        <v>1063</v>
      </c>
      <c r="I141" s="7" t="n">
        <v>3500</v>
      </c>
      <c r="J141" s="7" t="n">
        <v>5600</v>
      </c>
      <c r="K141" s="6" t="n">
        <v>0</v>
      </c>
      <c r="L141" s="6" t="n">
        <v>4</v>
      </c>
      <c r="M141" s="6" t="s">
        <v>1090</v>
      </c>
      <c r="N141" s="6" t="s">
        <v>1091</v>
      </c>
      <c r="O141" s="8" t="b">
        <f aca="false">TRUE()</f>
        <v>1</v>
      </c>
      <c r="P141" s="6" t="s">
        <v>1092</v>
      </c>
      <c r="Q141" s="6" t="s">
        <v>1059</v>
      </c>
      <c r="R141" s="6" t="s">
        <v>1059</v>
      </c>
      <c r="S141" s="9" t="b">
        <f aca="false">FALSE()</f>
        <v>0</v>
      </c>
      <c r="T141" s="6"/>
      <c r="U141" s="6"/>
      <c r="V141" s="6"/>
      <c r="W141" s="6"/>
    </row>
    <row r="142" customFormat="false" ht="15" hidden="false" customHeight="false" outlineLevel="0" collapsed="false">
      <c r="A142" s="6" t="s">
        <v>1093</v>
      </c>
      <c r="B142" s="6" t="s">
        <v>1094</v>
      </c>
      <c r="C142" s="6" t="s">
        <v>1095</v>
      </c>
      <c r="D142" s="6" t="s">
        <v>39</v>
      </c>
      <c r="E142" s="6" t="s">
        <v>40</v>
      </c>
      <c r="F142" s="6"/>
      <c r="G142" s="6" t="s">
        <v>41</v>
      </c>
      <c r="H142" s="6" t="s">
        <v>1063</v>
      </c>
      <c r="I142" s="7" t="n">
        <v>3500</v>
      </c>
      <c r="J142" s="7" t="n">
        <v>5600</v>
      </c>
      <c r="K142" s="6" t="n">
        <v>0</v>
      </c>
      <c r="L142" s="6" t="n">
        <v>4</v>
      </c>
      <c r="M142" s="6" t="s">
        <v>1096</v>
      </c>
      <c r="N142" s="6" t="s">
        <v>1097</v>
      </c>
      <c r="O142" s="8" t="b">
        <f aca="false">TRUE()</f>
        <v>1</v>
      </c>
      <c r="P142" s="6" t="s">
        <v>1098</v>
      </c>
      <c r="Q142" s="6" t="s">
        <v>1059</v>
      </c>
      <c r="R142" s="6" t="s">
        <v>1059</v>
      </c>
      <c r="S142" s="9" t="b">
        <f aca="false">FALSE()</f>
        <v>0</v>
      </c>
      <c r="T142" s="6"/>
      <c r="U142" s="6"/>
      <c r="V142" s="6"/>
      <c r="W142" s="6"/>
    </row>
    <row r="143" customFormat="false" ht="15" hidden="false" customHeight="false" outlineLevel="0" collapsed="false">
      <c r="A143" s="6" t="s">
        <v>1099</v>
      </c>
      <c r="B143" s="6" t="s">
        <v>1100</v>
      </c>
      <c r="C143" s="6" t="s">
        <v>1101</v>
      </c>
      <c r="D143" s="6" t="s">
        <v>39</v>
      </c>
      <c r="E143" s="6" t="s">
        <v>40</v>
      </c>
      <c r="F143" s="6"/>
      <c r="G143" s="6" t="s">
        <v>41</v>
      </c>
      <c r="H143" s="6" t="s">
        <v>1102</v>
      </c>
      <c r="I143" s="7" t="n">
        <v>3500</v>
      </c>
      <c r="J143" s="7" t="n">
        <v>5600</v>
      </c>
      <c r="K143" s="6" t="n">
        <v>0</v>
      </c>
      <c r="L143" s="6" t="n">
        <v>4</v>
      </c>
      <c r="M143" s="6" t="s">
        <v>1103</v>
      </c>
      <c r="N143" s="6" t="s">
        <v>1104</v>
      </c>
      <c r="O143" s="8" t="b">
        <f aca="false">TRUE()</f>
        <v>1</v>
      </c>
      <c r="P143" s="6" t="s">
        <v>1105</v>
      </c>
      <c r="Q143" s="6" t="s">
        <v>1059</v>
      </c>
      <c r="R143" s="6" t="s">
        <v>1059</v>
      </c>
      <c r="S143" s="9" t="b">
        <f aca="false">FALSE()</f>
        <v>0</v>
      </c>
      <c r="T143" s="6"/>
      <c r="U143" s="6"/>
      <c r="V143" s="6"/>
      <c r="W143" s="6"/>
    </row>
    <row r="144" customFormat="false" ht="15" hidden="false" customHeight="false" outlineLevel="0" collapsed="false">
      <c r="A144" s="6" t="s">
        <v>1106</v>
      </c>
      <c r="B144" s="6" t="s">
        <v>1107</v>
      </c>
      <c r="C144" s="6" t="s">
        <v>1108</v>
      </c>
      <c r="D144" s="6" t="s">
        <v>39</v>
      </c>
      <c r="E144" s="6" t="s">
        <v>40</v>
      </c>
      <c r="F144" s="6"/>
      <c r="G144" s="6"/>
      <c r="H144" s="6" t="s">
        <v>189</v>
      </c>
      <c r="I144" s="7" t="n">
        <v>2499</v>
      </c>
      <c r="J144" s="7" t="n">
        <v>2999</v>
      </c>
      <c r="K144" s="6" t="n">
        <v>0</v>
      </c>
      <c r="L144" s="6" t="n">
        <v>2</v>
      </c>
      <c r="M144" s="6" t="s">
        <v>1109</v>
      </c>
      <c r="N144" s="6" t="s">
        <v>1110</v>
      </c>
      <c r="O144" s="8" t="b">
        <f aca="false">TRUE()</f>
        <v>1</v>
      </c>
      <c r="P144" s="6" t="s">
        <v>1111</v>
      </c>
      <c r="Q144" s="6" t="s">
        <v>1059</v>
      </c>
      <c r="R144" s="6" t="s">
        <v>1059</v>
      </c>
      <c r="S144" s="10" t="b">
        <f aca="false">TRUE()</f>
        <v>1</v>
      </c>
      <c r="T144" s="6" t="s">
        <v>1112</v>
      </c>
      <c r="U144" s="6" t="s">
        <v>108</v>
      </c>
      <c r="V144" s="6" t="s">
        <v>1113</v>
      </c>
      <c r="W144" s="6" t="s">
        <v>92</v>
      </c>
    </row>
    <row r="145" customFormat="false" ht="15" hidden="false" customHeight="false" outlineLevel="0" collapsed="false">
      <c r="A145" s="6" t="s">
        <v>1114</v>
      </c>
      <c r="B145" s="6" t="s">
        <v>1115</v>
      </c>
      <c r="C145" s="6" t="s">
        <v>1116</v>
      </c>
      <c r="D145" s="6" t="s">
        <v>39</v>
      </c>
      <c r="E145" s="6" t="s">
        <v>40</v>
      </c>
      <c r="F145" s="6"/>
      <c r="G145" s="6"/>
      <c r="H145" s="6" t="s">
        <v>437</v>
      </c>
      <c r="I145" s="7" t="n">
        <v>2499</v>
      </c>
      <c r="J145" s="7" t="n">
        <v>5600</v>
      </c>
      <c r="K145" s="6" t="n">
        <v>0</v>
      </c>
      <c r="L145" s="6" t="n">
        <v>2</v>
      </c>
      <c r="M145" s="6" t="s">
        <v>1117</v>
      </c>
      <c r="N145" s="6" t="s">
        <v>1118</v>
      </c>
      <c r="O145" s="8" t="b">
        <f aca="false">TRUE()</f>
        <v>1</v>
      </c>
      <c r="P145" s="6" t="s">
        <v>1119</v>
      </c>
      <c r="Q145" s="6" t="s">
        <v>1059</v>
      </c>
      <c r="R145" s="6" t="s">
        <v>1059</v>
      </c>
      <c r="S145" s="10" t="b">
        <f aca="false">TRUE()</f>
        <v>1</v>
      </c>
      <c r="T145" s="6" t="s">
        <v>1120</v>
      </c>
      <c r="U145" s="6" t="s">
        <v>108</v>
      </c>
      <c r="V145" s="6" t="s">
        <v>1121</v>
      </c>
      <c r="W145" s="6" t="s">
        <v>92</v>
      </c>
    </row>
    <row r="146" customFormat="false" ht="15" hidden="false" customHeight="false" outlineLevel="0" collapsed="false">
      <c r="A146" s="6" t="s">
        <v>1122</v>
      </c>
      <c r="B146" s="6" t="s">
        <v>1123</v>
      </c>
      <c r="C146" s="6" t="s">
        <v>1124</v>
      </c>
      <c r="D146" s="6" t="s">
        <v>39</v>
      </c>
      <c r="E146" s="6" t="s">
        <v>40</v>
      </c>
      <c r="F146" s="6"/>
      <c r="G146" s="6"/>
      <c r="H146" s="6" t="s">
        <v>437</v>
      </c>
      <c r="I146" s="7" t="n">
        <v>1999</v>
      </c>
      <c r="J146" s="7" t="n">
        <v>3999</v>
      </c>
      <c r="K146" s="6" t="n">
        <v>0</v>
      </c>
      <c r="L146" s="6" t="n">
        <v>3</v>
      </c>
      <c r="M146" s="6" t="s">
        <v>1125</v>
      </c>
      <c r="N146" s="6" t="s">
        <v>1126</v>
      </c>
      <c r="O146" s="8" t="b">
        <f aca="false">TRUE()</f>
        <v>1</v>
      </c>
      <c r="P146" s="6" t="s">
        <v>1127</v>
      </c>
      <c r="Q146" s="6" t="s">
        <v>1059</v>
      </c>
      <c r="R146" s="6" t="s">
        <v>1059</v>
      </c>
      <c r="S146" s="10" t="b">
        <f aca="false">TRUE()</f>
        <v>1</v>
      </c>
      <c r="T146" s="6" t="s">
        <v>1128</v>
      </c>
      <c r="U146" s="6" t="s">
        <v>108</v>
      </c>
      <c r="V146" s="6" t="s">
        <v>1129</v>
      </c>
      <c r="W146" s="6" t="s">
        <v>92</v>
      </c>
    </row>
    <row r="147" customFormat="false" ht="15" hidden="false" customHeight="false" outlineLevel="0" collapsed="false">
      <c r="A147" s="6" t="s">
        <v>1130</v>
      </c>
      <c r="B147" s="6" t="s">
        <v>1131</v>
      </c>
      <c r="C147" s="6" t="s">
        <v>1132</v>
      </c>
      <c r="D147" s="6" t="s">
        <v>39</v>
      </c>
      <c r="E147" s="6" t="s">
        <v>40</v>
      </c>
      <c r="F147" s="6"/>
      <c r="G147" s="6"/>
      <c r="H147" s="6" t="s">
        <v>231</v>
      </c>
      <c r="I147" s="7" t="n">
        <v>5000</v>
      </c>
      <c r="J147" s="7" t="n">
        <v>5600</v>
      </c>
      <c r="K147" s="6" t="n">
        <v>0</v>
      </c>
      <c r="L147" s="6" t="n">
        <v>2</v>
      </c>
      <c r="M147" s="6" t="s">
        <v>1133</v>
      </c>
      <c r="N147" s="6" t="s">
        <v>1134</v>
      </c>
      <c r="O147" s="8" t="b">
        <f aca="false">TRUE()</f>
        <v>1</v>
      </c>
      <c r="P147" s="6" t="s">
        <v>1135</v>
      </c>
      <c r="Q147" s="6" t="s">
        <v>1059</v>
      </c>
      <c r="R147" s="6" t="s">
        <v>1059</v>
      </c>
      <c r="S147" s="10" t="b">
        <f aca="false">TRUE()</f>
        <v>1</v>
      </c>
      <c r="T147" s="6" t="s">
        <v>1136</v>
      </c>
      <c r="U147" s="6" t="s">
        <v>108</v>
      </c>
      <c r="V147" s="6" t="s">
        <v>1137</v>
      </c>
      <c r="W147" s="6" t="s">
        <v>92</v>
      </c>
    </row>
    <row r="148" customFormat="false" ht="15" hidden="false" customHeight="false" outlineLevel="0" collapsed="false">
      <c r="A148" s="6" t="s">
        <v>1138</v>
      </c>
      <c r="B148" s="6" t="s">
        <v>1139</v>
      </c>
      <c r="C148" s="6" t="s">
        <v>1140</v>
      </c>
      <c r="D148" s="6" t="s">
        <v>39</v>
      </c>
      <c r="E148" s="6" t="s">
        <v>40</v>
      </c>
      <c r="F148" s="6"/>
      <c r="G148" s="6"/>
      <c r="H148" s="6" t="s">
        <v>301</v>
      </c>
      <c r="I148" s="7" t="n">
        <v>5000</v>
      </c>
      <c r="J148" s="7" t="n">
        <v>5600</v>
      </c>
      <c r="K148" s="6" t="n">
        <v>0</v>
      </c>
      <c r="L148" s="6" t="n">
        <v>2</v>
      </c>
      <c r="M148" s="6" t="s">
        <v>1141</v>
      </c>
      <c r="N148" s="6" t="s">
        <v>1142</v>
      </c>
      <c r="O148" s="8" t="b">
        <f aca="false">TRUE()</f>
        <v>1</v>
      </c>
      <c r="P148" s="6" t="s">
        <v>1143</v>
      </c>
      <c r="Q148" s="6" t="s">
        <v>1059</v>
      </c>
      <c r="R148" s="6" t="s">
        <v>1059</v>
      </c>
      <c r="S148" s="10" t="b">
        <f aca="false">TRUE()</f>
        <v>1</v>
      </c>
      <c r="T148" s="6" t="s">
        <v>1144</v>
      </c>
      <c r="U148" s="6" t="s">
        <v>108</v>
      </c>
      <c r="V148" s="6" t="s">
        <v>1145</v>
      </c>
      <c r="W148" s="6" t="s">
        <v>92</v>
      </c>
    </row>
    <row r="149" customFormat="false" ht="15" hidden="false" customHeight="false" outlineLevel="0" collapsed="false">
      <c r="A149" s="6" t="s">
        <v>1146</v>
      </c>
      <c r="B149" s="6" t="s">
        <v>1147</v>
      </c>
      <c r="C149" s="6" t="s">
        <v>1148</v>
      </c>
      <c r="D149" s="6" t="s">
        <v>39</v>
      </c>
      <c r="E149" s="6" t="s">
        <v>40</v>
      </c>
      <c r="F149" s="6"/>
      <c r="G149" s="6"/>
      <c r="H149" s="6" t="s">
        <v>1149</v>
      </c>
      <c r="I149" s="7" t="n">
        <v>3799</v>
      </c>
      <c r="J149" s="7" t="n">
        <v>3799</v>
      </c>
      <c r="K149" s="6" t="n">
        <v>0</v>
      </c>
      <c r="L149" s="6" t="n">
        <v>1</v>
      </c>
      <c r="M149" s="6" t="s">
        <v>1150</v>
      </c>
      <c r="N149" s="6" t="s">
        <v>1151</v>
      </c>
      <c r="O149" s="8" t="b">
        <f aca="false">TRUE()</f>
        <v>1</v>
      </c>
      <c r="P149" s="6" t="s">
        <v>1152</v>
      </c>
      <c r="Q149" s="6" t="s">
        <v>1059</v>
      </c>
      <c r="R149" s="6" t="s">
        <v>1059</v>
      </c>
      <c r="S149" s="10" t="b">
        <f aca="false">TRUE()</f>
        <v>1</v>
      </c>
      <c r="T149" s="6" t="s">
        <v>1153</v>
      </c>
      <c r="U149" s="6" t="s">
        <v>108</v>
      </c>
      <c r="V149" s="6" t="s">
        <v>1154</v>
      </c>
      <c r="W149" s="6" t="s">
        <v>92</v>
      </c>
    </row>
    <row r="150" customFormat="false" ht="15" hidden="false" customHeight="false" outlineLevel="0" collapsed="false">
      <c r="A150" s="6" t="s">
        <v>1155</v>
      </c>
      <c r="B150" s="6" t="s">
        <v>1156</v>
      </c>
      <c r="C150" s="6" t="s">
        <v>1157</v>
      </c>
      <c r="D150" s="6" t="s">
        <v>39</v>
      </c>
      <c r="E150" s="6" t="s">
        <v>40</v>
      </c>
      <c r="F150" s="6"/>
      <c r="G150" s="6"/>
      <c r="H150" s="6" t="s">
        <v>437</v>
      </c>
      <c r="I150" s="7" t="n">
        <v>5000</v>
      </c>
      <c r="J150" s="7" t="n">
        <v>5600</v>
      </c>
      <c r="K150" s="6" t="n">
        <v>0</v>
      </c>
      <c r="L150" s="6" t="n">
        <v>2</v>
      </c>
      <c r="M150" s="6" t="s">
        <v>1158</v>
      </c>
      <c r="N150" s="6" t="s">
        <v>1159</v>
      </c>
      <c r="O150" s="8" t="b">
        <f aca="false">TRUE()</f>
        <v>1</v>
      </c>
      <c r="P150" s="6" t="s">
        <v>1160</v>
      </c>
      <c r="Q150" s="6" t="s">
        <v>1059</v>
      </c>
      <c r="R150" s="6" t="s">
        <v>1059</v>
      </c>
      <c r="S150" s="10" t="b">
        <f aca="false">TRUE()</f>
        <v>1</v>
      </c>
      <c r="T150" s="6" t="s">
        <v>1161</v>
      </c>
      <c r="U150" s="6" t="s">
        <v>108</v>
      </c>
      <c r="V150" s="6" t="s">
        <v>1162</v>
      </c>
      <c r="W150" s="6" t="s">
        <v>92</v>
      </c>
    </row>
    <row r="151" customFormat="false" ht="15" hidden="false" customHeight="false" outlineLevel="0" collapsed="false">
      <c r="A151" s="6" t="s">
        <v>1163</v>
      </c>
      <c r="B151" s="6" t="s">
        <v>1164</v>
      </c>
      <c r="C151" s="6" t="s">
        <v>1165</v>
      </c>
      <c r="D151" s="6" t="s">
        <v>39</v>
      </c>
      <c r="E151" s="6" t="s">
        <v>40</v>
      </c>
      <c r="F151" s="6"/>
      <c r="G151" s="6"/>
      <c r="H151" s="6" t="s">
        <v>1166</v>
      </c>
      <c r="I151" s="7" t="n">
        <v>2999</v>
      </c>
      <c r="J151" s="7" t="n">
        <v>3999</v>
      </c>
      <c r="K151" s="6" t="n">
        <v>0</v>
      </c>
      <c r="L151" s="6" t="n">
        <v>2</v>
      </c>
      <c r="M151" s="6" t="s">
        <v>1167</v>
      </c>
      <c r="N151" s="6" t="s">
        <v>1168</v>
      </c>
      <c r="O151" s="8" t="b">
        <f aca="false">TRUE()</f>
        <v>1</v>
      </c>
      <c r="P151" s="6" t="s">
        <v>1169</v>
      </c>
      <c r="Q151" s="6" t="s">
        <v>1059</v>
      </c>
      <c r="R151" s="6" t="s">
        <v>1059</v>
      </c>
      <c r="S151" s="10" t="b">
        <f aca="false">TRUE()</f>
        <v>1</v>
      </c>
      <c r="T151" s="6" t="s">
        <v>1170</v>
      </c>
      <c r="U151" s="6" t="s">
        <v>108</v>
      </c>
      <c r="V151" s="6" t="s">
        <v>1171</v>
      </c>
      <c r="W151" s="6" t="s">
        <v>92</v>
      </c>
    </row>
    <row r="152" customFormat="false" ht="15" hidden="false" customHeight="false" outlineLevel="0" collapsed="false">
      <c r="A152" s="6" t="s">
        <v>1172</v>
      </c>
      <c r="B152" s="6" t="s">
        <v>1173</v>
      </c>
      <c r="C152" s="6" t="s">
        <v>1174</v>
      </c>
      <c r="D152" s="6" t="s">
        <v>39</v>
      </c>
      <c r="E152" s="6" t="s">
        <v>40</v>
      </c>
      <c r="F152" s="6"/>
      <c r="G152" s="6"/>
      <c r="H152" s="6" t="s">
        <v>214</v>
      </c>
      <c r="I152" s="7" t="n">
        <v>2499</v>
      </c>
      <c r="J152" s="7" t="n">
        <v>5600</v>
      </c>
      <c r="K152" s="6" t="n">
        <v>0</v>
      </c>
      <c r="L152" s="6" t="n">
        <v>2</v>
      </c>
      <c r="M152" s="6" t="s">
        <v>1175</v>
      </c>
      <c r="N152" s="6" t="s">
        <v>1176</v>
      </c>
      <c r="O152" s="8" t="b">
        <f aca="false">TRUE()</f>
        <v>1</v>
      </c>
      <c r="P152" s="6" t="s">
        <v>1177</v>
      </c>
      <c r="Q152" s="6" t="s">
        <v>1059</v>
      </c>
      <c r="R152" s="6" t="s">
        <v>1059</v>
      </c>
      <c r="S152" s="10" t="b">
        <f aca="false">TRUE()</f>
        <v>1</v>
      </c>
      <c r="T152" s="6" t="s">
        <v>1178</v>
      </c>
      <c r="U152" s="6" t="s">
        <v>108</v>
      </c>
      <c r="V152" s="6" t="s">
        <v>1179</v>
      </c>
      <c r="W152" s="6" t="s">
        <v>92</v>
      </c>
    </row>
    <row r="153" customFormat="false" ht="15" hidden="false" customHeight="false" outlineLevel="0" collapsed="false">
      <c r="A153" s="6" t="s">
        <v>1180</v>
      </c>
      <c r="B153" s="6" t="s">
        <v>1181</v>
      </c>
      <c r="C153" s="6" t="s">
        <v>1182</v>
      </c>
      <c r="D153" s="6" t="s">
        <v>39</v>
      </c>
      <c r="E153" s="6" t="s">
        <v>40</v>
      </c>
      <c r="F153" s="6"/>
      <c r="G153" s="6"/>
      <c r="H153" s="6" t="s">
        <v>1183</v>
      </c>
      <c r="I153" s="7" t="n">
        <v>5000</v>
      </c>
      <c r="J153" s="7" t="n">
        <v>5600</v>
      </c>
      <c r="K153" s="6" t="n">
        <v>0</v>
      </c>
      <c r="L153" s="6" t="n">
        <v>2</v>
      </c>
      <c r="M153" s="6" t="s">
        <v>1184</v>
      </c>
      <c r="N153" s="6" t="s">
        <v>1185</v>
      </c>
      <c r="O153" s="8" t="b">
        <f aca="false">TRUE()</f>
        <v>1</v>
      </c>
      <c r="P153" s="6" t="s">
        <v>1186</v>
      </c>
      <c r="Q153" s="6" t="s">
        <v>1059</v>
      </c>
      <c r="R153" s="6" t="s">
        <v>1059</v>
      </c>
      <c r="S153" s="10" t="b">
        <f aca="false">TRUE()</f>
        <v>1</v>
      </c>
      <c r="T153" s="6" t="s">
        <v>1187</v>
      </c>
      <c r="U153" s="6" t="s">
        <v>108</v>
      </c>
      <c r="V153" s="6" t="s">
        <v>1188</v>
      </c>
      <c r="W153" s="6" t="s">
        <v>92</v>
      </c>
    </row>
    <row r="154" customFormat="false" ht="15" hidden="false" customHeight="false" outlineLevel="0" collapsed="false">
      <c r="A154" s="6" t="s">
        <v>1189</v>
      </c>
      <c r="B154" s="6" t="s">
        <v>1190</v>
      </c>
      <c r="C154" s="6" t="s">
        <v>1191</v>
      </c>
      <c r="D154" s="6" t="s">
        <v>39</v>
      </c>
      <c r="E154" s="6" t="s">
        <v>40</v>
      </c>
      <c r="F154" s="6"/>
      <c r="G154" s="6"/>
      <c r="H154" s="6" t="s">
        <v>231</v>
      </c>
      <c r="I154" s="7" t="n">
        <v>2499</v>
      </c>
      <c r="J154" s="7" t="n">
        <v>5600</v>
      </c>
      <c r="K154" s="6" t="n">
        <v>0</v>
      </c>
      <c r="L154" s="6" t="n">
        <v>2</v>
      </c>
      <c r="M154" s="6" t="s">
        <v>1192</v>
      </c>
      <c r="N154" s="6" t="s">
        <v>1193</v>
      </c>
      <c r="O154" s="8" t="b">
        <f aca="false">TRUE()</f>
        <v>1</v>
      </c>
      <c r="P154" s="6" t="s">
        <v>1194</v>
      </c>
      <c r="Q154" s="6" t="s">
        <v>1059</v>
      </c>
      <c r="R154" s="6" t="s">
        <v>1059</v>
      </c>
      <c r="S154" s="10" t="b">
        <f aca="false">TRUE()</f>
        <v>1</v>
      </c>
      <c r="T154" s="6" t="s">
        <v>1195</v>
      </c>
      <c r="U154" s="6" t="s">
        <v>108</v>
      </c>
      <c r="V154" s="6" t="s">
        <v>1196</v>
      </c>
      <c r="W154" s="6" t="s">
        <v>92</v>
      </c>
    </row>
    <row r="155" customFormat="false" ht="15" hidden="false" customHeight="false" outlineLevel="0" collapsed="false">
      <c r="A155" s="6" t="s">
        <v>1197</v>
      </c>
      <c r="B155" s="6" t="s">
        <v>1198</v>
      </c>
      <c r="C155" s="6" t="s">
        <v>1199</v>
      </c>
      <c r="D155" s="6" t="s">
        <v>39</v>
      </c>
      <c r="E155" s="6" t="s">
        <v>40</v>
      </c>
      <c r="F155" s="6"/>
      <c r="G155" s="6"/>
      <c r="H155" s="6" t="s">
        <v>1183</v>
      </c>
      <c r="I155" s="7" t="n">
        <v>2499</v>
      </c>
      <c r="J155" s="7" t="n">
        <v>5600</v>
      </c>
      <c r="K155" s="6" t="n">
        <v>0</v>
      </c>
      <c r="L155" s="6" t="n">
        <v>2</v>
      </c>
      <c r="M155" s="6" t="s">
        <v>1200</v>
      </c>
      <c r="N155" s="6" t="s">
        <v>1201</v>
      </c>
      <c r="O155" s="8" t="b">
        <f aca="false">TRUE()</f>
        <v>1</v>
      </c>
      <c r="P155" s="6" t="s">
        <v>1202</v>
      </c>
      <c r="Q155" s="6" t="s">
        <v>1059</v>
      </c>
      <c r="R155" s="6" t="s">
        <v>1059</v>
      </c>
      <c r="S155" s="10" t="b">
        <f aca="false">TRUE()</f>
        <v>1</v>
      </c>
      <c r="T155" s="6" t="s">
        <v>1203</v>
      </c>
      <c r="U155" s="6" t="s">
        <v>108</v>
      </c>
      <c r="V155" s="6" t="s">
        <v>1204</v>
      </c>
      <c r="W155" s="6" t="s">
        <v>92</v>
      </c>
    </row>
    <row r="156" customFormat="false" ht="15" hidden="false" customHeight="false" outlineLevel="0" collapsed="false">
      <c r="A156" s="6" t="s">
        <v>1205</v>
      </c>
      <c r="B156" s="6" t="s">
        <v>1206</v>
      </c>
      <c r="C156" s="6" t="s">
        <v>1207</v>
      </c>
      <c r="D156" s="6" t="s">
        <v>39</v>
      </c>
      <c r="E156" s="6" t="s">
        <v>40</v>
      </c>
      <c r="F156" s="6"/>
      <c r="G156" s="6"/>
      <c r="H156" s="6" t="s">
        <v>1208</v>
      </c>
      <c r="I156" s="7" t="n">
        <v>1999</v>
      </c>
      <c r="J156" s="7" t="n">
        <v>2999</v>
      </c>
      <c r="K156" s="6" t="n">
        <v>0</v>
      </c>
      <c r="L156" s="6" t="n">
        <v>2</v>
      </c>
      <c r="M156" s="6" t="s">
        <v>1209</v>
      </c>
      <c r="N156" s="6" t="s">
        <v>1210</v>
      </c>
      <c r="O156" s="8" t="b">
        <f aca="false">TRUE()</f>
        <v>1</v>
      </c>
      <c r="P156" s="6" t="s">
        <v>1211</v>
      </c>
      <c r="Q156" s="6" t="s">
        <v>1059</v>
      </c>
      <c r="R156" s="6" t="s">
        <v>1059</v>
      </c>
      <c r="S156" s="10" t="b">
        <f aca="false">TRUE()</f>
        <v>1</v>
      </c>
      <c r="T156" s="6" t="s">
        <v>1212</v>
      </c>
      <c r="U156" s="6" t="s">
        <v>108</v>
      </c>
      <c r="V156" s="6" t="s">
        <v>1213</v>
      </c>
      <c r="W156" s="6" t="s">
        <v>92</v>
      </c>
    </row>
    <row r="157" customFormat="false" ht="15" hidden="false" customHeight="false" outlineLevel="0" collapsed="false">
      <c r="A157" s="6" t="s">
        <v>1214</v>
      </c>
      <c r="B157" s="6" t="s">
        <v>1215</v>
      </c>
      <c r="C157" s="6" t="s">
        <v>1216</v>
      </c>
      <c r="D157" s="6" t="s">
        <v>39</v>
      </c>
      <c r="E157" s="6" t="s">
        <v>40</v>
      </c>
      <c r="F157" s="6"/>
      <c r="G157" s="6"/>
      <c r="H157" s="6" t="s">
        <v>1217</v>
      </c>
      <c r="I157" s="7" t="n">
        <v>1799</v>
      </c>
      <c r="J157" s="7" t="n">
        <v>3499</v>
      </c>
      <c r="K157" s="6" t="n">
        <v>0</v>
      </c>
      <c r="L157" s="6" t="n">
        <v>3</v>
      </c>
      <c r="M157" s="6" t="s">
        <v>1218</v>
      </c>
      <c r="N157" s="6" t="s">
        <v>1219</v>
      </c>
      <c r="O157" s="8" t="b">
        <f aca="false">TRUE()</f>
        <v>1</v>
      </c>
      <c r="P157" s="6" t="s">
        <v>1220</v>
      </c>
      <c r="Q157" s="6" t="s">
        <v>1059</v>
      </c>
      <c r="R157" s="6" t="s">
        <v>1059</v>
      </c>
      <c r="S157" s="10" t="b">
        <f aca="false">TRUE()</f>
        <v>1</v>
      </c>
      <c r="T157" s="6" t="s">
        <v>1221</v>
      </c>
      <c r="U157" s="6" t="s">
        <v>108</v>
      </c>
      <c r="V157" s="6" t="s">
        <v>1222</v>
      </c>
      <c r="W157" s="6" t="s">
        <v>92</v>
      </c>
    </row>
    <row r="158" customFormat="false" ht="15" hidden="false" customHeight="false" outlineLevel="0" collapsed="false">
      <c r="A158" s="6" t="s">
        <v>1223</v>
      </c>
      <c r="B158" s="6" t="s">
        <v>1224</v>
      </c>
      <c r="C158" s="6" t="s">
        <v>1225</v>
      </c>
      <c r="D158" s="6" t="s">
        <v>39</v>
      </c>
      <c r="E158" s="6" t="s">
        <v>40</v>
      </c>
      <c r="F158" s="6"/>
      <c r="G158" s="6"/>
      <c r="H158" s="6" t="s">
        <v>437</v>
      </c>
      <c r="I158" s="7" t="n">
        <v>1999</v>
      </c>
      <c r="J158" s="7" t="n">
        <v>3999</v>
      </c>
      <c r="K158" s="6" t="n">
        <v>0</v>
      </c>
      <c r="L158" s="6" t="n">
        <v>3</v>
      </c>
      <c r="M158" s="6" t="s">
        <v>1226</v>
      </c>
      <c r="N158" s="6" t="s">
        <v>1227</v>
      </c>
      <c r="O158" s="8" t="b">
        <f aca="false">TRUE()</f>
        <v>1</v>
      </c>
      <c r="P158" s="6" t="s">
        <v>1228</v>
      </c>
      <c r="Q158" s="6" t="s">
        <v>1059</v>
      </c>
      <c r="R158" s="6" t="s">
        <v>1059</v>
      </c>
      <c r="S158" s="10" t="b">
        <f aca="false">TRUE()</f>
        <v>1</v>
      </c>
      <c r="T158" s="6" t="s">
        <v>1229</v>
      </c>
      <c r="U158" s="6" t="s">
        <v>108</v>
      </c>
      <c r="V158" s="6" t="s">
        <v>1230</v>
      </c>
      <c r="W158" s="6" t="s">
        <v>92</v>
      </c>
    </row>
    <row r="159" customFormat="false" ht="15" hidden="false" customHeight="false" outlineLevel="0" collapsed="false">
      <c r="A159" s="6" t="s">
        <v>1231</v>
      </c>
      <c r="B159" s="6" t="s">
        <v>1232</v>
      </c>
      <c r="C159" s="6" t="s">
        <v>1233</v>
      </c>
      <c r="D159" s="6" t="s">
        <v>39</v>
      </c>
      <c r="E159" s="6" t="s">
        <v>40</v>
      </c>
      <c r="F159" s="6"/>
      <c r="G159" s="6"/>
      <c r="H159" s="6" t="s">
        <v>1234</v>
      </c>
      <c r="I159" s="7" t="n">
        <v>5000</v>
      </c>
      <c r="J159" s="7" t="n">
        <v>5600</v>
      </c>
      <c r="K159" s="6" t="n">
        <v>0</v>
      </c>
      <c r="L159" s="6" t="n">
        <v>2</v>
      </c>
      <c r="M159" s="6" t="s">
        <v>1235</v>
      </c>
      <c r="N159" s="6" t="s">
        <v>1236</v>
      </c>
      <c r="O159" s="8" t="b">
        <f aca="false">TRUE()</f>
        <v>1</v>
      </c>
      <c r="P159" s="6" t="s">
        <v>1237</v>
      </c>
      <c r="Q159" s="6" t="s">
        <v>1059</v>
      </c>
      <c r="R159" s="6" t="s">
        <v>1059</v>
      </c>
      <c r="S159" s="10" t="b">
        <f aca="false">TRUE()</f>
        <v>1</v>
      </c>
      <c r="T159" s="6" t="s">
        <v>1238</v>
      </c>
      <c r="U159" s="6" t="s">
        <v>108</v>
      </c>
      <c r="V159" s="6" t="s">
        <v>1239</v>
      </c>
      <c r="W159" s="6" t="s">
        <v>92</v>
      </c>
    </row>
    <row r="160" customFormat="false" ht="15" hidden="false" customHeight="false" outlineLevel="0" collapsed="false">
      <c r="A160" s="6" t="s">
        <v>1240</v>
      </c>
      <c r="B160" s="6" t="s">
        <v>1241</v>
      </c>
      <c r="C160" s="6" t="s">
        <v>1242</v>
      </c>
      <c r="D160" s="6" t="s">
        <v>39</v>
      </c>
      <c r="E160" s="6" t="s">
        <v>40</v>
      </c>
      <c r="F160" s="6"/>
      <c r="G160" s="6"/>
      <c r="H160" s="6" t="s">
        <v>231</v>
      </c>
      <c r="I160" s="7" t="n">
        <v>1999</v>
      </c>
      <c r="J160" s="7" t="n">
        <v>3999</v>
      </c>
      <c r="K160" s="6" t="n">
        <v>0</v>
      </c>
      <c r="L160" s="6" t="n">
        <v>3</v>
      </c>
      <c r="M160" s="6" t="s">
        <v>1125</v>
      </c>
      <c r="N160" s="6" t="s">
        <v>1243</v>
      </c>
      <c r="O160" s="8" t="b">
        <f aca="false">TRUE()</f>
        <v>1</v>
      </c>
      <c r="P160" s="6" t="s">
        <v>1244</v>
      </c>
      <c r="Q160" s="6" t="s">
        <v>1059</v>
      </c>
      <c r="R160" s="6" t="s">
        <v>1059</v>
      </c>
      <c r="S160" s="10" t="b">
        <f aca="false">TRUE()</f>
        <v>1</v>
      </c>
      <c r="T160" s="6" t="s">
        <v>1245</v>
      </c>
      <c r="U160" s="6" t="s">
        <v>108</v>
      </c>
      <c r="V160" s="6" t="s">
        <v>1246</v>
      </c>
      <c r="W160" s="6" t="s">
        <v>92</v>
      </c>
    </row>
    <row r="161" customFormat="false" ht="15" hidden="false" customHeight="false" outlineLevel="0" collapsed="false">
      <c r="A161" s="6" t="s">
        <v>1247</v>
      </c>
      <c r="B161" s="6" t="s">
        <v>1248</v>
      </c>
      <c r="C161" s="6" t="s">
        <v>1249</v>
      </c>
      <c r="D161" s="6" t="s">
        <v>39</v>
      </c>
      <c r="E161" s="6" t="s">
        <v>40</v>
      </c>
      <c r="F161" s="6"/>
      <c r="G161" s="6" t="s">
        <v>41</v>
      </c>
      <c r="H161" s="6" t="s">
        <v>1250</v>
      </c>
      <c r="I161" s="7" t="n">
        <v>3500</v>
      </c>
      <c r="J161" s="7" t="n">
        <v>5600</v>
      </c>
      <c r="K161" s="6" t="n">
        <v>0</v>
      </c>
      <c r="L161" s="6" t="n">
        <v>4</v>
      </c>
      <c r="M161" s="6" t="s">
        <v>1251</v>
      </c>
      <c r="N161" s="6" t="s">
        <v>1252</v>
      </c>
      <c r="O161" s="8" t="b">
        <f aca="false">TRUE()</f>
        <v>1</v>
      </c>
      <c r="P161" s="6" t="s">
        <v>1253</v>
      </c>
      <c r="Q161" s="6" t="s">
        <v>1254</v>
      </c>
      <c r="R161" s="6" t="s">
        <v>1254</v>
      </c>
      <c r="S161" s="9" t="b">
        <f aca="false">FALSE()</f>
        <v>0</v>
      </c>
      <c r="T161" s="6"/>
      <c r="U161" s="6"/>
      <c r="V161" s="6"/>
      <c r="W161" s="6"/>
    </row>
    <row r="162" customFormat="false" ht="15" hidden="false" customHeight="false" outlineLevel="0" collapsed="false">
      <c r="A162" s="6" t="s">
        <v>1255</v>
      </c>
      <c r="B162" s="6" t="s">
        <v>1256</v>
      </c>
      <c r="C162" s="6" t="s">
        <v>1257</v>
      </c>
      <c r="D162" s="6" t="s">
        <v>39</v>
      </c>
      <c r="E162" s="6" t="s">
        <v>40</v>
      </c>
      <c r="F162" s="6"/>
      <c r="G162" s="6" t="s">
        <v>41</v>
      </c>
      <c r="H162" s="6" t="s">
        <v>1250</v>
      </c>
      <c r="I162" s="7" t="n">
        <v>3500</v>
      </c>
      <c r="J162" s="7" t="n">
        <v>5600</v>
      </c>
      <c r="K162" s="6" t="n">
        <v>0</v>
      </c>
      <c r="L162" s="6" t="n">
        <v>4</v>
      </c>
      <c r="M162" s="6" t="s">
        <v>1258</v>
      </c>
      <c r="N162" s="6" t="s">
        <v>1259</v>
      </c>
      <c r="O162" s="8" t="b">
        <f aca="false">TRUE()</f>
        <v>1</v>
      </c>
      <c r="P162" s="6" t="s">
        <v>1260</v>
      </c>
      <c r="Q162" s="6" t="s">
        <v>1254</v>
      </c>
      <c r="R162" s="6" t="s">
        <v>1254</v>
      </c>
      <c r="S162" s="9" t="b">
        <f aca="false">FALSE()</f>
        <v>0</v>
      </c>
      <c r="T162" s="6"/>
      <c r="U162" s="6"/>
      <c r="V162" s="6"/>
      <c r="W162" s="6"/>
    </row>
    <row r="163" customFormat="false" ht="15" hidden="false" customHeight="false" outlineLevel="0" collapsed="false">
      <c r="A163" s="6" t="s">
        <v>1261</v>
      </c>
      <c r="B163" s="6" t="s">
        <v>1262</v>
      </c>
      <c r="C163" s="6" t="s">
        <v>1263</v>
      </c>
      <c r="D163" s="6" t="s">
        <v>39</v>
      </c>
      <c r="E163" s="6" t="s">
        <v>40</v>
      </c>
      <c r="F163" s="6"/>
      <c r="G163" s="6" t="s">
        <v>41</v>
      </c>
      <c r="H163" s="6" t="s">
        <v>1250</v>
      </c>
      <c r="I163" s="7" t="n">
        <v>3500</v>
      </c>
      <c r="J163" s="7" t="n">
        <v>5600</v>
      </c>
      <c r="K163" s="6" t="n">
        <v>0</v>
      </c>
      <c r="L163" s="6" t="n">
        <v>4</v>
      </c>
      <c r="M163" s="6" t="s">
        <v>1029</v>
      </c>
      <c r="N163" s="6" t="s">
        <v>1264</v>
      </c>
      <c r="O163" s="8" t="b">
        <f aca="false">TRUE()</f>
        <v>1</v>
      </c>
      <c r="P163" s="6" t="s">
        <v>1265</v>
      </c>
      <c r="Q163" s="6" t="s">
        <v>1254</v>
      </c>
      <c r="R163" s="6" t="s">
        <v>1254</v>
      </c>
      <c r="S163" s="9" t="b">
        <f aca="false">FALSE()</f>
        <v>0</v>
      </c>
      <c r="T163" s="6"/>
      <c r="U163" s="6"/>
      <c r="V163" s="6"/>
      <c r="W163" s="6"/>
    </row>
    <row r="164" customFormat="false" ht="15" hidden="false" customHeight="false" outlineLevel="0" collapsed="false">
      <c r="A164" s="6" t="s">
        <v>1266</v>
      </c>
      <c r="B164" s="6" t="s">
        <v>1267</v>
      </c>
      <c r="C164" s="6" t="s">
        <v>1268</v>
      </c>
      <c r="D164" s="6" t="s">
        <v>39</v>
      </c>
      <c r="E164" s="6" t="s">
        <v>40</v>
      </c>
      <c r="F164" s="6"/>
      <c r="G164" s="6" t="s">
        <v>41</v>
      </c>
      <c r="H164" s="6" t="s">
        <v>1250</v>
      </c>
      <c r="I164" s="7" t="n">
        <v>3500</v>
      </c>
      <c r="J164" s="7" t="n">
        <v>5600</v>
      </c>
      <c r="K164" s="6" t="n">
        <v>0</v>
      </c>
      <c r="L164" s="6" t="n">
        <v>4</v>
      </c>
      <c r="M164" s="6" t="s">
        <v>1269</v>
      </c>
      <c r="N164" s="6" t="s">
        <v>1270</v>
      </c>
      <c r="O164" s="8" t="b">
        <f aca="false">TRUE()</f>
        <v>1</v>
      </c>
      <c r="P164" s="6" t="s">
        <v>1271</v>
      </c>
      <c r="Q164" s="6" t="s">
        <v>1254</v>
      </c>
      <c r="R164" s="6" t="s">
        <v>1254</v>
      </c>
      <c r="S164" s="10" t="b">
        <f aca="false">TRUE()</f>
        <v>1</v>
      </c>
      <c r="T164" s="6" t="s">
        <v>1272</v>
      </c>
      <c r="U164" s="6" t="s">
        <v>73</v>
      </c>
      <c r="V164" s="6" t="s">
        <v>1273</v>
      </c>
      <c r="W164" s="6" t="s">
        <v>92</v>
      </c>
    </row>
    <row r="165" customFormat="false" ht="15" hidden="false" customHeight="false" outlineLevel="0" collapsed="false">
      <c r="A165" s="6" t="s">
        <v>1274</v>
      </c>
      <c r="B165" s="6" t="s">
        <v>1275</v>
      </c>
      <c r="C165" s="6" t="s">
        <v>1276</v>
      </c>
      <c r="D165" s="6" t="s">
        <v>39</v>
      </c>
      <c r="E165" s="6" t="s">
        <v>40</v>
      </c>
      <c r="F165" s="6"/>
      <c r="G165" s="6" t="s">
        <v>41</v>
      </c>
      <c r="H165" s="6" t="s">
        <v>1277</v>
      </c>
      <c r="I165" s="7" t="n">
        <v>3500</v>
      </c>
      <c r="J165" s="7" t="n">
        <v>5600</v>
      </c>
      <c r="K165" s="6" t="n">
        <v>0</v>
      </c>
      <c r="L165" s="6" t="n">
        <v>4</v>
      </c>
      <c r="M165" s="6" t="s">
        <v>1278</v>
      </c>
      <c r="N165" s="6" t="s">
        <v>1279</v>
      </c>
      <c r="O165" s="8" t="b">
        <f aca="false">TRUE()</f>
        <v>1</v>
      </c>
      <c r="P165" s="6" t="s">
        <v>1280</v>
      </c>
      <c r="Q165" s="6" t="s">
        <v>1254</v>
      </c>
      <c r="R165" s="6" t="s">
        <v>1254</v>
      </c>
      <c r="S165" s="9" t="b">
        <f aca="false">FALSE()</f>
        <v>0</v>
      </c>
      <c r="T165" s="6"/>
      <c r="U165" s="6"/>
      <c r="V165" s="6"/>
      <c r="W165" s="6"/>
    </row>
    <row r="166" customFormat="false" ht="15" hidden="false" customHeight="false" outlineLevel="0" collapsed="false">
      <c r="A166" s="6" t="s">
        <v>1281</v>
      </c>
      <c r="B166" s="6" t="s">
        <v>1282</v>
      </c>
      <c r="C166" s="6" t="s">
        <v>1283</v>
      </c>
      <c r="D166" s="6" t="s">
        <v>39</v>
      </c>
      <c r="E166" s="6" t="s">
        <v>40</v>
      </c>
      <c r="F166" s="6"/>
      <c r="G166" s="6" t="s">
        <v>41</v>
      </c>
      <c r="H166" s="6" t="s">
        <v>1284</v>
      </c>
      <c r="I166" s="7" t="n">
        <v>3500</v>
      </c>
      <c r="J166" s="7" t="n">
        <v>5600</v>
      </c>
      <c r="K166" s="6" t="n">
        <v>0</v>
      </c>
      <c r="L166" s="6" t="n">
        <v>4</v>
      </c>
      <c r="M166" s="6" t="s">
        <v>1029</v>
      </c>
      <c r="N166" s="6" t="s">
        <v>1285</v>
      </c>
      <c r="O166" s="8" t="b">
        <f aca="false">TRUE()</f>
        <v>1</v>
      </c>
      <c r="P166" s="6" t="s">
        <v>1286</v>
      </c>
      <c r="Q166" s="6" t="s">
        <v>1254</v>
      </c>
      <c r="R166" s="6" t="s">
        <v>1254</v>
      </c>
      <c r="S166" s="9" t="b">
        <f aca="false">FALSE()</f>
        <v>0</v>
      </c>
      <c r="T166" s="6"/>
      <c r="U166" s="6"/>
      <c r="V166" s="6"/>
      <c r="W166" s="6"/>
    </row>
    <row r="167" customFormat="false" ht="15" hidden="false" customHeight="false" outlineLevel="0" collapsed="false">
      <c r="A167" s="6" t="s">
        <v>1287</v>
      </c>
      <c r="B167" s="6" t="s">
        <v>1288</v>
      </c>
      <c r="C167" s="6" t="s">
        <v>1289</v>
      </c>
      <c r="D167" s="6" t="s">
        <v>39</v>
      </c>
      <c r="E167" s="6" t="s">
        <v>40</v>
      </c>
      <c r="F167" s="6"/>
      <c r="G167" s="6" t="s">
        <v>41</v>
      </c>
      <c r="H167" s="6" t="s">
        <v>1250</v>
      </c>
      <c r="I167" s="7" t="n">
        <v>3500</v>
      </c>
      <c r="J167" s="7" t="n">
        <v>5600</v>
      </c>
      <c r="K167" s="6" t="n">
        <v>0</v>
      </c>
      <c r="L167" s="6" t="n">
        <v>4</v>
      </c>
      <c r="M167" s="6" t="s">
        <v>1029</v>
      </c>
      <c r="N167" s="6" t="s">
        <v>1290</v>
      </c>
      <c r="O167" s="8" t="b">
        <f aca="false">TRUE()</f>
        <v>1</v>
      </c>
      <c r="P167" s="6" t="s">
        <v>1291</v>
      </c>
      <c r="Q167" s="6" t="s">
        <v>1254</v>
      </c>
      <c r="R167" s="6" t="s">
        <v>1254</v>
      </c>
      <c r="S167" s="9" t="b">
        <f aca="false">FALSE()</f>
        <v>0</v>
      </c>
      <c r="T167" s="6"/>
      <c r="U167" s="6"/>
      <c r="V167" s="6"/>
      <c r="W167" s="6"/>
    </row>
    <row r="168" customFormat="false" ht="15" hidden="false" customHeight="false" outlineLevel="0" collapsed="false">
      <c r="A168" s="6" t="s">
        <v>1292</v>
      </c>
      <c r="B168" s="6" t="s">
        <v>1293</v>
      </c>
      <c r="C168" s="6" t="s">
        <v>1294</v>
      </c>
      <c r="D168" s="6" t="s">
        <v>39</v>
      </c>
      <c r="E168" s="6" t="s">
        <v>40</v>
      </c>
      <c r="F168" s="6"/>
      <c r="G168" s="6" t="s">
        <v>41</v>
      </c>
      <c r="H168" s="6" t="s">
        <v>1295</v>
      </c>
      <c r="I168" s="7" t="n">
        <v>3500</v>
      </c>
      <c r="J168" s="7" t="n">
        <v>5600</v>
      </c>
      <c r="K168" s="6" t="n">
        <v>0</v>
      </c>
      <c r="L168" s="6" t="n">
        <v>4</v>
      </c>
      <c r="M168" s="6" t="s">
        <v>1029</v>
      </c>
      <c r="N168" s="6" t="s">
        <v>1296</v>
      </c>
      <c r="O168" s="8" t="b">
        <f aca="false">TRUE()</f>
        <v>1</v>
      </c>
      <c r="P168" s="6" t="s">
        <v>1297</v>
      </c>
      <c r="Q168" s="6" t="s">
        <v>1254</v>
      </c>
      <c r="R168" s="6" t="s">
        <v>1254</v>
      </c>
      <c r="S168" s="9" t="b">
        <f aca="false">FALSE()</f>
        <v>0</v>
      </c>
      <c r="T168" s="6"/>
      <c r="U168" s="6"/>
      <c r="V168" s="6"/>
      <c r="W168" s="6"/>
    </row>
    <row r="169" customFormat="false" ht="15" hidden="false" customHeight="false" outlineLevel="0" collapsed="false">
      <c r="A169" s="6" t="s">
        <v>1298</v>
      </c>
      <c r="B169" s="6" t="s">
        <v>1299</v>
      </c>
      <c r="C169" s="6" t="s">
        <v>1300</v>
      </c>
      <c r="D169" s="6" t="s">
        <v>39</v>
      </c>
      <c r="E169" s="6" t="s">
        <v>40</v>
      </c>
      <c r="F169" s="6"/>
      <c r="G169" s="6" t="s">
        <v>41</v>
      </c>
      <c r="H169" s="6" t="s">
        <v>1295</v>
      </c>
      <c r="I169" s="7" t="n">
        <v>3500</v>
      </c>
      <c r="J169" s="7" t="n">
        <v>5600</v>
      </c>
      <c r="K169" s="6" t="n">
        <v>0</v>
      </c>
      <c r="L169" s="6" t="n">
        <v>4</v>
      </c>
      <c r="M169" s="6" t="s">
        <v>1029</v>
      </c>
      <c r="N169" s="6" t="s">
        <v>1301</v>
      </c>
      <c r="O169" s="8" t="b">
        <f aca="false">TRUE()</f>
        <v>1</v>
      </c>
      <c r="P169" s="6" t="s">
        <v>1302</v>
      </c>
      <c r="Q169" s="6" t="s">
        <v>1254</v>
      </c>
      <c r="R169" s="6" t="s">
        <v>1254</v>
      </c>
      <c r="S169" s="9" t="b">
        <f aca="false">FALSE()</f>
        <v>0</v>
      </c>
      <c r="T169" s="6"/>
      <c r="U169" s="6"/>
      <c r="V169" s="6"/>
      <c r="W169" s="6"/>
    </row>
    <row r="170" customFormat="false" ht="15" hidden="false" customHeight="false" outlineLevel="0" collapsed="false">
      <c r="A170" s="6" t="s">
        <v>1303</v>
      </c>
      <c r="B170" s="6" t="s">
        <v>1304</v>
      </c>
      <c r="C170" s="6" t="s">
        <v>1305</v>
      </c>
      <c r="D170" s="6" t="s">
        <v>39</v>
      </c>
      <c r="E170" s="6" t="s">
        <v>40</v>
      </c>
      <c r="F170" s="6"/>
      <c r="G170" s="6" t="s">
        <v>41</v>
      </c>
      <c r="H170" s="6" t="s">
        <v>1306</v>
      </c>
      <c r="I170" s="7" t="n">
        <v>3500</v>
      </c>
      <c r="J170" s="7" t="n">
        <v>5600</v>
      </c>
      <c r="K170" s="6" t="n">
        <v>0</v>
      </c>
      <c r="L170" s="6" t="n">
        <v>4</v>
      </c>
      <c r="M170" s="6" t="s">
        <v>1307</v>
      </c>
      <c r="N170" s="6" t="s">
        <v>1308</v>
      </c>
      <c r="O170" s="8" t="b">
        <f aca="false">TRUE()</f>
        <v>1</v>
      </c>
      <c r="P170" s="6" t="s">
        <v>1309</v>
      </c>
      <c r="Q170" s="6" t="s">
        <v>1310</v>
      </c>
      <c r="R170" s="6" t="s">
        <v>1310</v>
      </c>
      <c r="S170" s="9" t="b">
        <f aca="false">FALSE()</f>
        <v>0</v>
      </c>
      <c r="T170" s="6"/>
      <c r="U170" s="6"/>
      <c r="V170" s="6"/>
      <c r="W170" s="6"/>
    </row>
    <row r="171" customFormat="false" ht="15" hidden="false" customHeight="false" outlineLevel="0" collapsed="false">
      <c r="A171" s="6" t="s">
        <v>434</v>
      </c>
      <c r="B171" s="6" t="s">
        <v>1311</v>
      </c>
      <c r="C171" s="6" t="s">
        <v>1312</v>
      </c>
      <c r="D171" s="6" t="s">
        <v>39</v>
      </c>
      <c r="E171" s="6" t="s">
        <v>40</v>
      </c>
      <c r="F171" s="6"/>
      <c r="G171" s="6" t="s">
        <v>41</v>
      </c>
      <c r="H171" s="6" t="s">
        <v>1250</v>
      </c>
      <c r="I171" s="7" t="n">
        <v>3500</v>
      </c>
      <c r="J171" s="7" t="n">
        <v>5600</v>
      </c>
      <c r="K171" s="6" t="n">
        <v>0</v>
      </c>
      <c r="L171" s="6" t="n">
        <v>4</v>
      </c>
      <c r="M171" s="6" t="s">
        <v>1313</v>
      </c>
      <c r="N171" s="6" t="s">
        <v>1314</v>
      </c>
      <c r="O171" s="8" t="b">
        <f aca="false">TRUE()</f>
        <v>1</v>
      </c>
      <c r="P171" s="6" t="s">
        <v>1315</v>
      </c>
      <c r="Q171" s="6" t="s">
        <v>1310</v>
      </c>
      <c r="R171" s="6" t="s">
        <v>1310</v>
      </c>
      <c r="S171" s="9" t="b">
        <f aca="false">FALSE()</f>
        <v>0</v>
      </c>
      <c r="T171" s="6"/>
      <c r="U171" s="6"/>
      <c r="V171" s="6"/>
      <c r="W171" s="6"/>
    </row>
    <row r="172" customFormat="false" ht="15" hidden="false" customHeight="false" outlineLevel="0" collapsed="false">
      <c r="A172" s="6" t="s">
        <v>1316</v>
      </c>
      <c r="B172" s="6" t="s">
        <v>1317</v>
      </c>
      <c r="C172" s="6" t="s">
        <v>1318</v>
      </c>
      <c r="D172" s="6" t="s">
        <v>39</v>
      </c>
      <c r="E172" s="6" t="s">
        <v>40</v>
      </c>
      <c r="F172" s="6"/>
      <c r="G172" s="6" t="s">
        <v>41</v>
      </c>
      <c r="H172" s="6" t="s">
        <v>1035</v>
      </c>
      <c r="I172" s="7" t="n">
        <v>3500</v>
      </c>
      <c r="J172" s="7" t="n">
        <v>5600</v>
      </c>
      <c r="K172" s="6" t="n">
        <v>0</v>
      </c>
      <c r="L172" s="6" t="n">
        <v>4</v>
      </c>
      <c r="M172" s="6" t="s">
        <v>1319</v>
      </c>
      <c r="N172" s="6" t="s">
        <v>1320</v>
      </c>
      <c r="O172" s="8" t="b">
        <f aca="false">TRUE()</f>
        <v>1</v>
      </c>
      <c r="P172" s="6" t="s">
        <v>1321</v>
      </c>
      <c r="Q172" s="6" t="s">
        <v>1310</v>
      </c>
      <c r="R172" s="6" t="s">
        <v>1310</v>
      </c>
      <c r="S172" s="9" t="b">
        <f aca="false">FALSE()</f>
        <v>0</v>
      </c>
      <c r="T172" s="6"/>
      <c r="U172" s="6"/>
      <c r="V172" s="6"/>
      <c r="W172" s="6"/>
    </row>
    <row r="173" customFormat="false" ht="15" hidden="false" customHeight="false" outlineLevel="0" collapsed="false">
      <c r="A173" s="6" t="s">
        <v>1322</v>
      </c>
      <c r="B173" s="6" t="s">
        <v>1323</v>
      </c>
      <c r="C173" s="6" t="s">
        <v>1324</v>
      </c>
      <c r="D173" s="6" t="s">
        <v>39</v>
      </c>
      <c r="E173" s="6" t="s">
        <v>40</v>
      </c>
      <c r="F173" s="6"/>
      <c r="G173" s="6" t="s">
        <v>41</v>
      </c>
      <c r="H173" s="6" t="s">
        <v>1295</v>
      </c>
      <c r="I173" s="7" t="n">
        <v>3500</v>
      </c>
      <c r="J173" s="7" t="n">
        <v>5600</v>
      </c>
      <c r="K173" s="6" t="n">
        <v>0</v>
      </c>
      <c r="L173" s="6" t="n">
        <v>4</v>
      </c>
      <c r="M173" s="6" t="s">
        <v>1325</v>
      </c>
      <c r="N173" s="6" t="s">
        <v>1326</v>
      </c>
      <c r="O173" s="8" t="b">
        <f aca="false">TRUE()</f>
        <v>1</v>
      </c>
      <c r="P173" s="6" t="s">
        <v>1327</v>
      </c>
      <c r="Q173" s="6" t="s">
        <v>1310</v>
      </c>
      <c r="R173" s="6" t="s">
        <v>1310</v>
      </c>
      <c r="S173" s="9" t="b">
        <f aca="false">FALSE()</f>
        <v>0</v>
      </c>
      <c r="T173" s="6"/>
      <c r="U173" s="6"/>
      <c r="V173" s="6"/>
      <c r="W173" s="6"/>
    </row>
    <row r="174" customFormat="false" ht="15" hidden="false" customHeight="false" outlineLevel="0" collapsed="false">
      <c r="A174" s="6" t="s">
        <v>1328</v>
      </c>
      <c r="B174" s="6" t="s">
        <v>1329</v>
      </c>
      <c r="C174" s="6" t="s">
        <v>1330</v>
      </c>
      <c r="D174" s="6" t="s">
        <v>39</v>
      </c>
      <c r="E174" s="6" t="s">
        <v>40</v>
      </c>
      <c r="F174" s="6"/>
      <c r="G174" s="6" t="s">
        <v>41</v>
      </c>
      <c r="H174" s="6" t="s">
        <v>1250</v>
      </c>
      <c r="I174" s="7" t="n">
        <v>3500</v>
      </c>
      <c r="J174" s="7" t="n">
        <v>5600</v>
      </c>
      <c r="K174" s="6" t="n">
        <v>0</v>
      </c>
      <c r="L174" s="6" t="n">
        <v>4</v>
      </c>
      <c r="M174" s="6" t="s">
        <v>1331</v>
      </c>
      <c r="N174" s="6" t="s">
        <v>1332</v>
      </c>
      <c r="O174" s="8" t="b">
        <f aca="false">TRUE()</f>
        <v>1</v>
      </c>
      <c r="P174" s="6" t="s">
        <v>1333</v>
      </c>
      <c r="Q174" s="6" t="s">
        <v>1334</v>
      </c>
      <c r="R174" s="6" t="s">
        <v>1334</v>
      </c>
      <c r="S174" s="10" t="b">
        <f aca="false">TRUE()</f>
        <v>1</v>
      </c>
      <c r="T174" s="6" t="s">
        <v>1335</v>
      </c>
      <c r="U174" s="6" t="s">
        <v>73</v>
      </c>
      <c r="V174" s="6" t="s">
        <v>1336</v>
      </c>
      <c r="W174" s="6" t="s">
        <v>92</v>
      </c>
    </row>
    <row r="175" customFormat="false" ht="15" hidden="false" customHeight="false" outlineLevel="0" collapsed="false">
      <c r="A175" s="6" t="s">
        <v>1337</v>
      </c>
      <c r="B175" s="6" t="s">
        <v>1338</v>
      </c>
      <c r="C175" s="6" t="s">
        <v>1339</v>
      </c>
      <c r="D175" s="6" t="s">
        <v>39</v>
      </c>
      <c r="E175" s="6" t="s">
        <v>40</v>
      </c>
      <c r="F175" s="6"/>
      <c r="G175" s="6" t="s">
        <v>41</v>
      </c>
      <c r="H175" s="6" t="s">
        <v>1340</v>
      </c>
      <c r="I175" s="7" t="n">
        <v>3500</v>
      </c>
      <c r="J175" s="7" t="n">
        <v>5600</v>
      </c>
      <c r="K175" s="6" t="n">
        <v>0</v>
      </c>
      <c r="L175" s="6" t="n">
        <v>4</v>
      </c>
      <c r="M175" s="6" t="s">
        <v>1341</v>
      </c>
      <c r="N175" s="6" t="s">
        <v>1342</v>
      </c>
      <c r="O175" s="8" t="b">
        <f aca="false">TRUE()</f>
        <v>1</v>
      </c>
      <c r="P175" s="6" t="s">
        <v>1343</v>
      </c>
      <c r="Q175" s="6" t="s">
        <v>1334</v>
      </c>
      <c r="R175" s="6" t="s">
        <v>1334</v>
      </c>
      <c r="S175" s="9" t="b">
        <f aca="false">FALSE()</f>
        <v>0</v>
      </c>
      <c r="T175" s="6"/>
      <c r="U175" s="6"/>
      <c r="V175" s="6"/>
      <c r="W175" s="6"/>
    </row>
    <row r="176" customFormat="false" ht="15" hidden="false" customHeight="false" outlineLevel="0" collapsed="false">
      <c r="A176" s="6" t="s">
        <v>1344</v>
      </c>
      <c r="B176" s="6" t="s">
        <v>1345</v>
      </c>
      <c r="C176" s="6" t="s">
        <v>1346</v>
      </c>
      <c r="D176" s="6" t="s">
        <v>39</v>
      </c>
      <c r="E176" s="6" t="s">
        <v>40</v>
      </c>
      <c r="F176" s="6"/>
      <c r="G176" s="6" t="s">
        <v>41</v>
      </c>
      <c r="H176" s="6" t="s">
        <v>1306</v>
      </c>
      <c r="I176" s="7" t="n">
        <v>3500</v>
      </c>
      <c r="J176" s="7" t="n">
        <v>5600</v>
      </c>
      <c r="K176" s="6" t="n">
        <v>0</v>
      </c>
      <c r="L176" s="6" t="n">
        <v>4</v>
      </c>
      <c r="M176" s="6" t="s">
        <v>1347</v>
      </c>
      <c r="N176" s="6" t="s">
        <v>1348</v>
      </c>
      <c r="O176" s="8" t="b">
        <f aca="false">TRUE()</f>
        <v>1</v>
      </c>
      <c r="P176" s="6" t="s">
        <v>1349</v>
      </c>
      <c r="Q176" s="6" t="s">
        <v>1334</v>
      </c>
      <c r="R176" s="6" t="s">
        <v>1334</v>
      </c>
      <c r="S176" s="9" t="b">
        <f aca="false">FALSE()</f>
        <v>0</v>
      </c>
      <c r="T176" s="6"/>
      <c r="U176" s="6"/>
      <c r="V176" s="6"/>
      <c r="W176" s="6"/>
    </row>
    <row r="177" customFormat="false" ht="15" hidden="false" customHeight="false" outlineLevel="0" collapsed="false">
      <c r="A177" s="6" t="s">
        <v>1350</v>
      </c>
      <c r="B177" s="6" t="s">
        <v>1351</v>
      </c>
      <c r="C177" s="6" t="s">
        <v>1352</v>
      </c>
      <c r="D177" s="6" t="s">
        <v>39</v>
      </c>
      <c r="E177" s="6" t="s">
        <v>40</v>
      </c>
      <c r="F177" s="6"/>
      <c r="G177" s="6" t="s">
        <v>41</v>
      </c>
      <c r="H177" s="6" t="s">
        <v>1306</v>
      </c>
      <c r="I177" s="7" t="n">
        <v>3500</v>
      </c>
      <c r="J177" s="7" t="n">
        <v>5600</v>
      </c>
      <c r="K177" s="6" t="n">
        <v>0</v>
      </c>
      <c r="L177" s="6" t="n">
        <v>4</v>
      </c>
      <c r="M177" s="6" t="s">
        <v>51</v>
      </c>
      <c r="N177" s="6" t="s">
        <v>1353</v>
      </c>
      <c r="O177" s="8" t="b">
        <f aca="false">TRUE()</f>
        <v>1</v>
      </c>
      <c r="P177" s="6" t="s">
        <v>1354</v>
      </c>
      <c r="Q177" s="6" t="s">
        <v>1334</v>
      </c>
      <c r="R177" s="6" t="s">
        <v>1334</v>
      </c>
      <c r="S177" s="9" t="b">
        <f aca="false">FALSE()</f>
        <v>0</v>
      </c>
      <c r="T177" s="6"/>
      <c r="U177" s="6"/>
      <c r="V177" s="6"/>
      <c r="W177" s="6"/>
    </row>
    <row r="178" customFormat="false" ht="15" hidden="false" customHeight="false" outlineLevel="0" collapsed="false">
      <c r="A178" s="6" t="s">
        <v>1355</v>
      </c>
      <c r="B178" s="6" t="s">
        <v>1356</v>
      </c>
      <c r="C178" s="6" t="s">
        <v>1357</v>
      </c>
      <c r="D178" s="6" t="s">
        <v>39</v>
      </c>
      <c r="E178" s="6" t="s">
        <v>40</v>
      </c>
      <c r="F178" s="6"/>
      <c r="G178" s="6" t="s">
        <v>41</v>
      </c>
      <c r="H178" s="6" t="s">
        <v>1306</v>
      </c>
      <c r="I178" s="7" t="n">
        <v>3500</v>
      </c>
      <c r="J178" s="7" t="n">
        <v>5600</v>
      </c>
      <c r="K178" s="6" t="n">
        <v>0</v>
      </c>
      <c r="L178" s="6" t="n">
        <v>4</v>
      </c>
      <c r="M178" s="6" t="s">
        <v>51</v>
      </c>
      <c r="N178" s="6" t="s">
        <v>1358</v>
      </c>
      <c r="O178" s="8" t="b">
        <f aca="false">TRUE()</f>
        <v>1</v>
      </c>
      <c r="P178" s="6" t="s">
        <v>1359</v>
      </c>
      <c r="Q178" s="6" t="s">
        <v>1334</v>
      </c>
      <c r="R178" s="6" t="s">
        <v>1334</v>
      </c>
      <c r="S178" s="10" t="b">
        <f aca="false">TRUE()</f>
        <v>1</v>
      </c>
      <c r="T178" s="6" t="s">
        <v>1360</v>
      </c>
      <c r="U178" s="6" t="s">
        <v>73</v>
      </c>
      <c r="V178" s="6" t="s">
        <v>1361</v>
      </c>
      <c r="W178" s="6" t="s">
        <v>92</v>
      </c>
    </row>
    <row r="179" customFormat="false" ht="15" hidden="false" customHeight="false" outlineLevel="0" collapsed="false">
      <c r="A179" s="6" t="s">
        <v>1362</v>
      </c>
      <c r="B179" s="6" t="s">
        <v>1363</v>
      </c>
      <c r="C179" s="6" t="s">
        <v>1364</v>
      </c>
      <c r="D179" s="6" t="s">
        <v>39</v>
      </c>
      <c r="E179" s="6" t="s">
        <v>40</v>
      </c>
      <c r="F179" s="6"/>
      <c r="G179" s="6" t="s">
        <v>41</v>
      </c>
      <c r="H179" s="6" t="s">
        <v>1365</v>
      </c>
      <c r="I179" s="7" t="n">
        <v>3500</v>
      </c>
      <c r="J179" s="7" t="n">
        <v>5600</v>
      </c>
      <c r="K179" s="6" t="n">
        <v>0</v>
      </c>
      <c r="L179" s="6" t="n">
        <v>4</v>
      </c>
      <c r="M179" s="6" t="s">
        <v>51</v>
      </c>
      <c r="N179" s="6" t="s">
        <v>1366</v>
      </c>
      <c r="O179" s="8" t="b">
        <f aca="false">TRUE()</f>
        <v>1</v>
      </c>
      <c r="P179" s="6" t="s">
        <v>1367</v>
      </c>
      <c r="Q179" s="6" t="s">
        <v>1334</v>
      </c>
      <c r="R179" s="6" t="s">
        <v>1334</v>
      </c>
      <c r="S179" s="9" t="b">
        <f aca="false">FALSE()</f>
        <v>0</v>
      </c>
      <c r="T179" s="6"/>
      <c r="U179" s="6"/>
      <c r="V179" s="6"/>
      <c r="W179" s="6"/>
    </row>
    <row r="180" customFormat="false" ht="15" hidden="false" customHeight="false" outlineLevel="0" collapsed="false">
      <c r="A180" s="6" t="s">
        <v>1368</v>
      </c>
      <c r="B180" s="6" t="s">
        <v>1369</v>
      </c>
      <c r="C180" s="6" t="s">
        <v>1370</v>
      </c>
      <c r="D180" s="6" t="s">
        <v>39</v>
      </c>
      <c r="E180" s="6" t="s">
        <v>40</v>
      </c>
      <c r="F180" s="6"/>
      <c r="G180" s="6" t="s">
        <v>41</v>
      </c>
      <c r="H180" s="6" t="s">
        <v>1306</v>
      </c>
      <c r="I180" s="7" t="n">
        <v>3500</v>
      </c>
      <c r="J180" s="7" t="n">
        <v>5600</v>
      </c>
      <c r="K180" s="6" t="n">
        <v>0</v>
      </c>
      <c r="L180" s="6" t="n">
        <v>4</v>
      </c>
      <c r="M180" s="6" t="s">
        <v>51</v>
      </c>
      <c r="N180" s="6" t="s">
        <v>1371</v>
      </c>
      <c r="O180" s="8" t="b">
        <f aca="false">TRUE()</f>
        <v>1</v>
      </c>
      <c r="P180" s="6" t="s">
        <v>1372</v>
      </c>
      <c r="Q180" s="6" t="s">
        <v>1334</v>
      </c>
      <c r="R180" s="6" t="s">
        <v>1334</v>
      </c>
      <c r="S180" s="9" t="b">
        <f aca="false">FALSE()</f>
        <v>0</v>
      </c>
      <c r="T180" s="6"/>
      <c r="U180" s="6"/>
      <c r="V180" s="6"/>
      <c r="W180" s="6"/>
    </row>
    <row r="181" customFormat="false" ht="15" hidden="false" customHeight="false" outlineLevel="0" collapsed="false">
      <c r="A181" s="6" t="s">
        <v>1373</v>
      </c>
      <c r="B181" s="6" t="s">
        <v>1374</v>
      </c>
      <c r="C181" s="6" t="s">
        <v>1375</v>
      </c>
      <c r="D181" s="6" t="s">
        <v>39</v>
      </c>
      <c r="E181" s="6" t="s">
        <v>40</v>
      </c>
      <c r="F181" s="6"/>
      <c r="G181" s="6" t="s">
        <v>41</v>
      </c>
      <c r="H181" s="6" t="s">
        <v>1306</v>
      </c>
      <c r="I181" s="7" t="n">
        <v>3500</v>
      </c>
      <c r="J181" s="7" t="n">
        <v>5600</v>
      </c>
      <c r="K181" s="6" t="n">
        <v>0</v>
      </c>
      <c r="L181" s="6" t="n">
        <v>4</v>
      </c>
      <c r="M181" s="6" t="s">
        <v>51</v>
      </c>
      <c r="N181" s="6" t="s">
        <v>1376</v>
      </c>
      <c r="O181" s="8" t="b">
        <f aca="false">TRUE()</f>
        <v>1</v>
      </c>
      <c r="P181" s="6" t="s">
        <v>1377</v>
      </c>
      <c r="Q181" s="6" t="s">
        <v>1334</v>
      </c>
      <c r="R181" s="6" t="s">
        <v>1334</v>
      </c>
      <c r="S181" s="9" t="b">
        <f aca="false">FALSE()</f>
        <v>0</v>
      </c>
      <c r="T181" s="6"/>
      <c r="U181" s="6"/>
      <c r="V181" s="6"/>
      <c r="W181" s="6"/>
    </row>
    <row r="182" customFormat="false" ht="15" hidden="false" customHeight="false" outlineLevel="0" collapsed="false">
      <c r="A182" s="6" t="s">
        <v>1378</v>
      </c>
      <c r="B182" s="6" t="s">
        <v>1379</v>
      </c>
      <c r="C182" s="6" t="s">
        <v>1380</v>
      </c>
      <c r="D182" s="6" t="s">
        <v>39</v>
      </c>
      <c r="E182" s="6" t="s">
        <v>40</v>
      </c>
      <c r="F182" s="6"/>
      <c r="G182" s="6" t="s">
        <v>41</v>
      </c>
      <c r="H182" s="6" t="s">
        <v>1306</v>
      </c>
      <c r="I182" s="7" t="n">
        <v>3500</v>
      </c>
      <c r="J182" s="7" t="n">
        <v>5600</v>
      </c>
      <c r="K182" s="6" t="n">
        <v>0</v>
      </c>
      <c r="L182" s="6" t="n">
        <v>4</v>
      </c>
      <c r="M182" s="6" t="s">
        <v>1341</v>
      </c>
      <c r="N182" s="6" t="s">
        <v>1381</v>
      </c>
      <c r="O182" s="8" t="b">
        <f aca="false">TRUE()</f>
        <v>1</v>
      </c>
      <c r="P182" s="6" t="s">
        <v>1382</v>
      </c>
      <c r="Q182" s="6" t="s">
        <v>1334</v>
      </c>
      <c r="R182" s="6" t="s">
        <v>1334</v>
      </c>
      <c r="S182" s="9" t="b">
        <f aca="false">FALSE()</f>
        <v>0</v>
      </c>
      <c r="T182" s="6"/>
      <c r="U182" s="6"/>
      <c r="V182" s="6"/>
      <c r="W182" s="6"/>
    </row>
    <row r="183" customFormat="false" ht="15" hidden="false" customHeight="false" outlineLevel="0" collapsed="false">
      <c r="A183" s="6" t="s">
        <v>1383</v>
      </c>
      <c r="B183" s="6" t="s">
        <v>1384</v>
      </c>
      <c r="C183" s="6" t="s">
        <v>1385</v>
      </c>
      <c r="D183" s="6" t="s">
        <v>39</v>
      </c>
      <c r="E183" s="6" t="s">
        <v>40</v>
      </c>
      <c r="F183" s="6"/>
      <c r="G183" s="6" t="s">
        <v>41</v>
      </c>
      <c r="H183" s="6" t="s">
        <v>63</v>
      </c>
      <c r="I183" s="7" t="n">
        <v>3500</v>
      </c>
      <c r="J183" s="7" t="n">
        <v>5600</v>
      </c>
      <c r="K183" s="6" t="n">
        <v>0</v>
      </c>
      <c r="L183" s="6" t="n">
        <v>4</v>
      </c>
      <c r="M183" s="6" t="s">
        <v>51</v>
      </c>
      <c r="N183" s="6" t="s">
        <v>1386</v>
      </c>
      <c r="O183" s="8" t="b">
        <f aca="false">TRUE()</f>
        <v>1</v>
      </c>
      <c r="P183" s="6" t="s">
        <v>1387</v>
      </c>
      <c r="Q183" s="6" t="s">
        <v>1334</v>
      </c>
      <c r="R183" s="6" t="s">
        <v>1334</v>
      </c>
      <c r="S183" s="9" t="b">
        <f aca="false">FALSE()</f>
        <v>0</v>
      </c>
      <c r="T183" s="6"/>
      <c r="U183" s="6"/>
      <c r="V183" s="6"/>
      <c r="W183" s="6"/>
    </row>
    <row r="184" customFormat="false" ht="15" hidden="false" customHeight="false" outlineLevel="0" collapsed="false">
      <c r="A184" s="6" t="s">
        <v>1388</v>
      </c>
      <c r="B184" s="6" t="s">
        <v>1389</v>
      </c>
      <c r="C184" s="6" t="s">
        <v>1390</v>
      </c>
      <c r="D184" s="6" t="s">
        <v>39</v>
      </c>
      <c r="E184" s="6" t="s">
        <v>40</v>
      </c>
      <c r="F184" s="6"/>
      <c r="G184" s="6" t="s">
        <v>41</v>
      </c>
      <c r="H184" s="6" t="s">
        <v>1277</v>
      </c>
      <c r="I184" s="7" t="n">
        <v>3500</v>
      </c>
      <c r="J184" s="7" t="n">
        <v>5600</v>
      </c>
      <c r="K184" s="6" t="n">
        <v>0</v>
      </c>
      <c r="L184" s="6" t="n">
        <v>4</v>
      </c>
      <c r="M184" s="6" t="s">
        <v>51</v>
      </c>
      <c r="N184" s="6" t="s">
        <v>1391</v>
      </c>
      <c r="O184" s="8" t="b">
        <f aca="false">TRUE()</f>
        <v>1</v>
      </c>
      <c r="P184" s="6" t="s">
        <v>1392</v>
      </c>
      <c r="Q184" s="6" t="s">
        <v>1334</v>
      </c>
      <c r="R184" s="6" t="s">
        <v>1334</v>
      </c>
      <c r="S184" s="9" t="b">
        <f aca="false">FALSE()</f>
        <v>0</v>
      </c>
      <c r="T184" s="6"/>
      <c r="U184" s="6"/>
      <c r="V184" s="6"/>
      <c r="W184" s="6"/>
    </row>
    <row r="185" customFormat="false" ht="15" hidden="false" customHeight="false" outlineLevel="0" collapsed="false">
      <c r="A185" s="6" t="s">
        <v>1393</v>
      </c>
      <c r="B185" s="6" t="s">
        <v>1394</v>
      </c>
      <c r="C185" s="6" t="s">
        <v>1395</v>
      </c>
      <c r="D185" s="6" t="s">
        <v>39</v>
      </c>
      <c r="E185" s="6" t="s">
        <v>40</v>
      </c>
      <c r="F185" s="6"/>
      <c r="G185" s="6" t="s">
        <v>41</v>
      </c>
      <c r="H185" s="6" t="s">
        <v>1277</v>
      </c>
      <c r="I185" s="7" t="n">
        <v>3500</v>
      </c>
      <c r="J185" s="7" t="n">
        <v>5600</v>
      </c>
      <c r="K185" s="6" t="n">
        <v>0</v>
      </c>
      <c r="L185" s="6" t="n">
        <v>4</v>
      </c>
      <c r="M185" s="6" t="s">
        <v>51</v>
      </c>
      <c r="N185" s="6" t="s">
        <v>1396</v>
      </c>
      <c r="O185" s="8" t="b">
        <f aca="false">TRUE()</f>
        <v>1</v>
      </c>
      <c r="P185" s="6" t="s">
        <v>1397</v>
      </c>
      <c r="Q185" s="6" t="s">
        <v>1334</v>
      </c>
      <c r="R185" s="6" t="s">
        <v>1334</v>
      </c>
      <c r="S185" s="9" t="b">
        <f aca="false">FALSE()</f>
        <v>0</v>
      </c>
      <c r="T185" s="6"/>
      <c r="U185" s="6"/>
      <c r="V185" s="6"/>
      <c r="W185" s="6"/>
    </row>
    <row r="186" customFormat="false" ht="15" hidden="false" customHeight="false" outlineLevel="0" collapsed="false">
      <c r="A186" s="6" t="s">
        <v>1398</v>
      </c>
      <c r="B186" s="6" t="s">
        <v>1399</v>
      </c>
      <c r="C186" s="6" t="s">
        <v>1400</v>
      </c>
      <c r="D186" s="6" t="s">
        <v>39</v>
      </c>
      <c r="E186" s="6" t="s">
        <v>40</v>
      </c>
      <c r="F186" s="6"/>
      <c r="G186" s="6" t="s">
        <v>41</v>
      </c>
      <c r="H186" s="6" t="s">
        <v>1250</v>
      </c>
      <c r="I186" s="7" t="n">
        <v>3500</v>
      </c>
      <c r="J186" s="7" t="n">
        <v>5600</v>
      </c>
      <c r="K186" s="6" t="n">
        <v>0</v>
      </c>
      <c r="L186" s="6" t="n">
        <v>4</v>
      </c>
      <c r="M186" s="6" t="s">
        <v>1401</v>
      </c>
      <c r="N186" s="6" t="s">
        <v>1402</v>
      </c>
      <c r="O186" s="8" t="b">
        <f aca="false">TRUE()</f>
        <v>1</v>
      </c>
      <c r="P186" s="6" t="s">
        <v>1403</v>
      </c>
      <c r="Q186" s="6" t="s">
        <v>1334</v>
      </c>
      <c r="R186" s="6" t="s">
        <v>1334</v>
      </c>
      <c r="S186" s="10" t="b">
        <f aca="false">TRUE()</f>
        <v>1</v>
      </c>
      <c r="T186" s="6" t="s">
        <v>1404</v>
      </c>
      <c r="U186" s="6" t="s">
        <v>73</v>
      </c>
      <c r="V186" s="6" t="s">
        <v>1405</v>
      </c>
      <c r="W186" s="6" t="s">
        <v>92</v>
      </c>
    </row>
    <row r="187" customFormat="false" ht="15" hidden="false" customHeight="false" outlineLevel="0" collapsed="false">
      <c r="A187" s="6" t="s">
        <v>1406</v>
      </c>
      <c r="B187" s="6" t="s">
        <v>1407</v>
      </c>
      <c r="C187" s="6" t="s">
        <v>1408</v>
      </c>
      <c r="D187" s="6" t="s">
        <v>39</v>
      </c>
      <c r="E187" s="6" t="s">
        <v>40</v>
      </c>
      <c r="F187" s="6"/>
      <c r="G187" s="6" t="s">
        <v>41</v>
      </c>
      <c r="H187" s="6" t="s">
        <v>1250</v>
      </c>
      <c r="I187" s="7" t="n">
        <v>3500</v>
      </c>
      <c r="J187" s="7" t="n">
        <v>5600</v>
      </c>
      <c r="K187" s="6" t="n">
        <v>0</v>
      </c>
      <c r="L187" s="6" t="n">
        <v>4</v>
      </c>
      <c r="M187" s="6" t="s">
        <v>1409</v>
      </c>
      <c r="N187" s="6" t="s">
        <v>1410</v>
      </c>
      <c r="O187" s="8" t="b">
        <f aca="false">TRUE()</f>
        <v>1</v>
      </c>
      <c r="P187" s="6" t="s">
        <v>1411</v>
      </c>
      <c r="Q187" s="6" t="s">
        <v>1334</v>
      </c>
      <c r="R187" s="6" t="s">
        <v>1334</v>
      </c>
      <c r="S187" s="9" t="b">
        <f aca="false">FALSE()</f>
        <v>0</v>
      </c>
      <c r="T187" s="6"/>
      <c r="U187" s="6"/>
      <c r="V187" s="6"/>
      <c r="W187" s="6"/>
    </row>
    <row r="188" customFormat="false" ht="15" hidden="false" customHeight="false" outlineLevel="0" collapsed="false">
      <c r="A188" s="6" t="s">
        <v>1412</v>
      </c>
      <c r="B188" s="6" t="s">
        <v>1413</v>
      </c>
      <c r="C188" s="6" t="s">
        <v>1414</v>
      </c>
      <c r="D188" s="6" t="s">
        <v>39</v>
      </c>
      <c r="E188" s="6" t="s">
        <v>40</v>
      </c>
      <c r="F188" s="6"/>
      <c r="G188" s="6" t="s">
        <v>41</v>
      </c>
      <c r="H188" s="6" t="s">
        <v>1415</v>
      </c>
      <c r="I188" s="7" t="n">
        <v>3500</v>
      </c>
      <c r="J188" s="7" t="n">
        <v>5600</v>
      </c>
      <c r="K188" s="6" t="n">
        <v>0</v>
      </c>
      <c r="L188" s="6" t="n">
        <v>4</v>
      </c>
      <c r="M188" s="6" t="s">
        <v>51</v>
      </c>
      <c r="N188" s="6" t="s">
        <v>1416</v>
      </c>
      <c r="O188" s="8" t="b">
        <f aca="false">TRUE()</f>
        <v>1</v>
      </c>
      <c r="P188" s="6" t="s">
        <v>1417</v>
      </c>
      <c r="Q188" s="6" t="s">
        <v>1334</v>
      </c>
      <c r="R188" s="6" t="s">
        <v>1334</v>
      </c>
      <c r="S188" s="9" t="b">
        <f aca="false">FALSE()</f>
        <v>0</v>
      </c>
      <c r="T188" s="6"/>
      <c r="U188" s="6"/>
      <c r="V188" s="6"/>
      <c r="W188" s="6"/>
    </row>
    <row r="189" customFormat="false" ht="15" hidden="false" customHeight="false" outlineLevel="0" collapsed="false">
      <c r="A189" s="6" t="s">
        <v>1172</v>
      </c>
      <c r="B189" s="6" t="s">
        <v>1418</v>
      </c>
      <c r="C189" s="6" t="s">
        <v>1419</v>
      </c>
      <c r="D189" s="6" t="s">
        <v>39</v>
      </c>
      <c r="E189" s="6" t="s">
        <v>40</v>
      </c>
      <c r="F189" s="6"/>
      <c r="G189" s="6" t="s">
        <v>41</v>
      </c>
      <c r="H189" s="6" t="s">
        <v>1420</v>
      </c>
      <c r="I189" s="7" t="n">
        <v>3500</v>
      </c>
      <c r="J189" s="7" t="n">
        <v>5600</v>
      </c>
      <c r="K189" s="6" t="n">
        <v>0</v>
      </c>
      <c r="L189" s="6" t="n">
        <v>4</v>
      </c>
      <c r="M189" s="6" t="s">
        <v>51</v>
      </c>
      <c r="N189" s="6" t="s">
        <v>1421</v>
      </c>
      <c r="O189" s="8" t="b">
        <f aca="false">TRUE()</f>
        <v>1</v>
      </c>
      <c r="P189" s="6" t="s">
        <v>1422</v>
      </c>
      <c r="Q189" s="6" t="s">
        <v>1334</v>
      </c>
      <c r="R189" s="6" t="s">
        <v>1334</v>
      </c>
      <c r="S189" s="9" t="b">
        <f aca="false">FALSE()</f>
        <v>0</v>
      </c>
      <c r="T189" s="6"/>
      <c r="U189" s="6"/>
      <c r="V189" s="6"/>
      <c r="W189" s="6"/>
    </row>
    <row r="190" customFormat="false" ht="15" hidden="false" customHeight="false" outlineLevel="0" collapsed="false">
      <c r="A190" s="6" t="s">
        <v>1214</v>
      </c>
      <c r="B190" s="6" t="s">
        <v>1423</v>
      </c>
      <c r="C190" s="6" t="s">
        <v>1424</v>
      </c>
      <c r="D190" s="6" t="s">
        <v>39</v>
      </c>
      <c r="E190" s="6" t="s">
        <v>40</v>
      </c>
      <c r="F190" s="6"/>
      <c r="G190" s="6" t="s">
        <v>41</v>
      </c>
      <c r="H190" s="6" t="s">
        <v>1425</v>
      </c>
      <c r="I190" s="7" t="n">
        <v>3500</v>
      </c>
      <c r="J190" s="7" t="n">
        <v>5600</v>
      </c>
      <c r="K190" s="6" t="n">
        <v>0</v>
      </c>
      <c r="L190" s="6" t="n">
        <v>4</v>
      </c>
      <c r="M190" s="6" t="s">
        <v>1426</v>
      </c>
      <c r="N190" s="6" t="s">
        <v>1427</v>
      </c>
      <c r="O190" s="8" t="b">
        <f aca="false">TRUE()</f>
        <v>1</v>
      </c>
      <c r="P190" s="6" t="s">
        <v>1428</v>
      </c>
      <c r="Q190" s="6" t="s">
        <v>1334</v>
      </c>
      <c r="R190" s="6" t="s">
        <v>1334</v>
      </c>
      <c r="S190" s="9" t="b">
        <f aca="false">FALSE()</f>
        <v>0</v>
      </c>
      <c r="T190" s="6"/>
      <c r="U190" s="6"/>
      <c r="V190" s="6"/>
      <c r="W190" s="6"/>
    </row>
    <row r="191" customFormat="false" ht="15" hidden="false" customHeight="false" outlineLevel="0" collapsed="false">
      <c r="A191" s="6" t="s">
        <v>1429</v>
      </c>
      <c r="B191" s="6" t="s">
        <v>1430</v>
      </c>
      <c r="C191" s="6" t="s">
        <v>1431</v>
      </c>
      <c r="D191" s="6" t="s">
        <v>39</v>
      </c>
      <c r="E191" s="6" t="s">
        <v>40</v>
      </c>
      <c r="F191" s="6"/>
      <c r="G191" s="6" t="s">
        <v>41</v>
      </c>
      <c r="H191" s="6" t="s">
        <v>1035</v>
      </c>
      <c r="I191" s="7" t="n">
        <v>3500</v>
      </c>
      <c r="J191" s="7" t="n">
        <v>5600</v>
      </c>
      <c r="K191" s="6" t="n">
        <v>0</v>
      </c>
      <c r="L191" s="6" t="n">
        <v>4</v>
      </c>
      <c r="M191" s="6" t="s">
        <v>1409</v>
      </c>
      <c r="N191" s="6" t="s">
        <v>1432</v>
      </c>
      <c r="O191" s="8" t="b">
        <f aca="false">TRUE()</f>
        <v>1</v>
      </c>
      <c r="P191" s="6" t="s">
        <v>1433</v>
      </c>
      <c r="Q191" s="6" t="s">
        <v>1334</v>
      </c>
      <c r="R191" s="6" t="s">
        <v>1334</v>
      </c>
      <c r="S191" s="10" t="b">
        <f aca="false">TRUE()</f>
        <v>1</v>
      </c>
      <c r="T191" s="6" t="s">
        <v>1434</v>
      </c>
      <c r="U191" s="6" t="s">
        <v>73</v>
      </c>
      <c r="V191" s="6" t="s">
        <v>1435</v>
      </c>
      <c r="W191" s="6" t="s">
        <v>92</v>
      </c>
    </row>
    <row r="192" customFormat="false" ht="15" hidden="false" customHeight="false" outlineLevel="0" collapsed="false">
      <c r="A192" s="6" t="s">
        <v>1436</v>
      </c>
      <c r="B192" s="6" t="s">
        <v>1437</v>
      </c>
      <c r="C192" s="6" t="s">
        <v>1438</v>
      </c>
      <c r="D192" s="6" t="s">
        <v>39</v>
      </c>
      <c r="E192" s="6" t="s">
        <v>40</v>
      </c>
      <c r="F192" s="6"/>
      <c r="G192" s="6" t="s">
        <v>41</v>
      </c>
      <c r="H192" s="6" t="s">
        <v>1063</v>
      </c>
      <c r="I192" s="7" t="n">
        <v>3500</v>
      </c>
      <c r="J192" s="7" t="n">
        <v>5600</v>
      </c>
      <c r="K192" s="6" t="n">
        <v>0</v>
      </c>
      <c r="L192" s="6" t="n">
        <v>4</v>
      </c>
      <c r="M192" s="6" t="s">
        <v>1439</v>
      </c>
      <c r="N192" s="6" t="s">
        <v>1440</v>
      </c>
      <c r="O192" s="8" t="b">
        <f aca="false">TRUE()</f>
        <v>1</v>
      </c>
      <c r="P192" s="6" t="s">
        <v>1441</v>
      </c>
      <c r="Q192" s="6" t="s">
        <v>1334</v>
      </c>
      <c r="R192" s="6" t="s">
        <v>1334</v>
      </c>
      <c r="S192" s="9" t="b">
        <f aca="false">FALSE()</f>
        <v>0</v>
      </c>
      <c r="T192" s="6"/>
      <c r="U192" s="6"/>
      <c r="V192" s="6"/>
      <c r="W192" s="6"/>
    </row>
    <row r="193" customFormat="false" ht="15" hidden="false" customHeight="false" outlineLevel="0" collapsed="false">
      <c r="A193" s="6" t="s">
        <v>1442</v>
      </c>
      <c r="B193" s="6" t="s">
        <v>1443</v>
      </c>
      <c r="C193" s="6" t="s">
        <v>1444</v>
      </c>
      <c r="D193" s="6" t="s">
        <v>39</v>
      </c>
      <c r="E193" s="6" t="s">
        <v>40</v>
      </c>
      <c r="F193" s="6"/>
      <c r="G193" s="6" t="s">
        <v>41</v>
      </c>
      <c r="H193" s="6" t="s">
        <v>57</v>
      </c>
      <c r="I193" s="7" t="n">
        <v>3500</v>
      </c>
      <c r="J193" s="7" t="n">
        <v>5600</v>
      </c>
      <c r="K193" s="6" t="n">
        <v>0</v>
      </c>
      <c r="L193" s="6" t="n">
        <v>4</v>
      </c>
      <c r="M193" s="6" t="s">
        <v>51</v>
      </c>
      <c r="N193" s="6" t="s">
        <v>1445</v>
      </c>
      <c r="O193" s="8" t="b">
        <f aca="false">TRUE()</f>
        <v>1</v>
      </c>
      <c r="P193" s="6" t="s">
        <v>1446</v>
      </c>
      <c r="Q193" s="6" t="s">
        <v>1334</v>
      </c>
      <c r="R193" s="6" t="s">
        <v>1334</v>
      </c>
      <c r="S193" s="9" t="b">
        <f aca="false">FALSE()</f>
        <v>0</v>
      </c>
      <c r="T193" s="6"/>
      <c r="U193" s="6"/>
      <c r="V193" s="6"/>
      <c r="W193" s="6"/>
    </row>
    <row r="194" customFormat="false" ht="15" hidden="false" customHeight="false" outlineLevel="0" collapsed="false">
      <c r="A194" s="6" t="s">
        <v>1447</v>
      </c>
      <c r="B194" s="6" t="s">
        <v>1448</v>
      </c>
      <c r="C194" s="6" t="s">
        <v>1449</v>
      </c>
      <c r="D194" s="6" t="s">
        <v>39</v>
      </c>
      <c r="E194" s="6" t="s">
        <v>40</v>
      </c>
      <c r="F194" s="6"/>
      <c r="G194" s="6" t="s">
        <v>41</v>
      </c>
      <c r="H194" s="6" t="s">
        <v>1450</v>
      </c>
      <c r="I194" s="7" t="n">
        <v>3500</v>
      </c>
      <c r="J194" s="7" t="n">
        <v>5600</v>
      </c>
      <c r="K194" s="6" t="n">
        <v>0</v>
      </c>
      <c r="L194" s="6" t="n">
        <v>4</v>
      </c>
      <c r="M194" s="6" t="s">
        <v>51</v>
      </c>
      <c r="N194" s="6" t="s">
        <v>1451</v>
      </c>
      <c r="O194" s="8" t="b">
        <f aca="false">TRUE()</f>
        <v>1</v>
      </c>
      <c r="P194" s="6" t="s">
        <v>1452</v>
      </c>
      <c r="Q194" s="6" t="s">
        <v>1334</v>
      </c>
      <c r="R194" s="6" t="s">
        <v>1334</v>
      </c>
      <c r="S194" s="9" t="b">
        <f aca="false">FALSE()</f>
        <v>0</v>
      </c>
      <c r="T194" s="6"/>
      <c r="U194" s="6"/>
      <c r="V194" s="6"/>
      <c r="W194" s="6"/>
    </row>
    <row r="195" customFormat="false" ht="15" hidden="false" customHeight="false" outlineLevel="0" collapsed="false">
      <c r="A195" s="6" t="s">
        <v>1453</v>
      </c>
      <c r="B195" s="6" t="s">
        <v>1454</v>
      </c>
      <c r="C195" s="6" t="s">
        <v>1455</v>
      </c>
      <c r="D195" s="6" t="s">
        <v>39</v>
      </c>
      <c r="E195" s="6" t="s">
        <v>40</v>
      </c>
      <c r="F195" s="6"/>
      <c r="G195" s="6" t="s">
        <v>41</v>
      </c>
      <c r="H195" s="6" t="s">
        <v>1035</v>
      </c>
      <c r="I195" s="7" t="n">
        <v>3500</v>
      </c>
      <c r="J195" s="7" t="n">
        <v>5600</v>
      </c>
      <c r="K195" s="6" t="n">
        <v>0</v>
      </c>
      <c r="L195" s="6" t="n">
        <v>4</v>
      </c>
      <c r="M195" s="6" t="s">
        <v>87</v>
      </c>
      <c r="N195" s="6" t="s">
        <v>1456</v>
      </c>
      <c r="O195" s="8" t="b">
        <f aca="false">TRUE()</f>
        <v>1</v>
      </c>
      <c r="P195" s="6" t="s">
        <v>1457</v>
      </c>
      <c r="Q195" s="6" t="s">
        <v>1334</v>
      </c>
      <c r="R195" s="6" t="s">
        <v>1334</v>
      </c>
      <c r="S195" s="10" t="b">
        <f aca="false">TRUE()</f>
        <v>1</v>
      </c>
      <c r="T195" s="6" t="s">
        <v>1458</v>
      </c>
      <c r="U195" s="6" t="s">
        <v>73</v>
      </c>
      <c r="V195" s="6" t="s">
        <v>1459</v>
      </c>
      <c r="W195" s="6" t="s">
        <v>92</v>
      </c>
    </row>
    <row r="196" customFormat="false" ht="15" hidden="false" customHeight="false" outlineLevel="0" collapsed="false">
      <c r="A196" s="6" t="s">
        <v>1460</v>
      </c>
      <c r="B196" s="6" t="s">
        <v>1461</v>
      </c>
      <c r="C196" s="6" t="s">
        <v>1462</v>
      </c>
      <c r="D196" s="6" t="s">
        <v>39</v>
      </c>
      <c r="E196" s="6" t="s">
        <v>40</v>
      </c>
      <c r="F196" s="6"/>
      <c r="G196" s="6" t="s">
        <v>41</v>
      </c>
      <c r="H196" s="6" t="s">
        <v>57</v>
      </c>
      <c r="I196" s="7" t="n">
        <v>3500</v>
      </c>
      <c r="J196" s="7" t="n">
        <v>5600</v>
      </c>
      <c r="K196" s="6" t="n">
        <v>0</v>
      </c>
      <c r="L196" s="6" t="n">
        <v>4</v>
      </c>
      <c r="M196" s="6" t="s">
        <v>51</v>
      </c>
      <c r="N196" s="6" t="s">
        <v>1463</v>
      </c>
      <c r="O196" s="8" t="b">
        <f aca="false">TRUE()</f>
        <v>1</v>
      </c>
      <c r="P196" s="6" t="s">
        <v>1464</v>
      </c>
      <c r="Q196" s="6" t="s">
        <v>1334</v>
      </c>
      <c r="R196" s="6" t="s">
        <v>1334</v>
      </c>
      <c r="S196" s="9" t="b">
        <f aca="false">FALSE()</f>
        <v>0</v>
      </c>
      <c r="T196" s="6"/>
      <c r="U196" s="6"/>
      <c r="V196" s="6"/>
      <c r="W196" s="6"/>
    </row>
    <row r="197" customFormat="false" ht="15" hidden="false" customHeight="false" outlineLevel="0" collapsed="false">
      <c r="A197" s="6" t="s">
        <v>1465</v>
      </c>
      <c r="B197" s="6" t="s">
        <v>1466</v>
      </c>
      <c r="C197" s="6" t="s">
        <v>1467</v>
      </c>
      <c r="D197" s="6" t="s">
        <v>39</v>
      </c>
      <c r="E197" s="6" t="s">
        <v>40</v>
      </c>
      <c r="F197" s="6"/>
      <c r="G197" s="6" t="s">
        <v>41</v>
      </c>
      <c r="H197" s="6" t="s">
        <v>57</v>
      </c>
      <c r="I197" s="7" t="n">
        <v>3500</v>
      </c>
      <c r="J197" s="7" t="n">
        <v>5600</v>
      </c>
      <c r="K197" s="6" t="n">
        <v>0</v>
      </c>
      <c r="L197" s="6" t="n">
        <v>4</v>
      </c>
      <c r="M197" s="6" t="s">
        <v>51</v>
      </c>
      <c r="N197" s="6" t="s">
        <v>1468</v>
      </c>
      <c r="O197" s="8" t="b">
        <f aca="false">TRUE()</f>
        <v>1</v>
      </c>
      <c r="P197" s="6" t="s">
        <v>1469</v>
      </c>
      <c r="Q197" s="6" t="s">
        <v>1334</v>
      </c>
      <c r="R197" s="6" t="s">
        <v>1334</v>
      </c>
      <c r="S197" s="9" t="b">
        <f aca="false">FALSE()</f>
        <v>0</v>
      </c>
      <c r="T197" s="6"/>
      <c r="U197" s="6"/>
      <c r="V197" s="6"/>
      <c r="W197" s="6"/>
    </row>
    <row r="198" customFormat="false" ht="15" hidden="false" customHeight="false" outlineLevel="0" collapsed="false">
      <c r="A198" s="6" t="s">
        <v>250</v>
      </c>
      <c r="B198" s="6" t="s">
        <v>1470</v>
      </c>
      <c r="C198" s="6" t="s">
        <v>1471</v>
      </c>
      <c r="D198" s="6" t="s">
        <v>39</v>
      </c>
      <c r="E198" s="6" t="s">
        <v>40</v>
      </c>
      <c r="F198" s="6"/>
      <c r="G198" s="6" t="s">
        <v>41</v>
      </c>
      <c r="H198" s="6" t="s">
        <v>57</v>
      </c>
      <c r="I198" s="7" t="n">
        <v>3500</v>
      </c>
      <c r="J198" s="7" t="n">
        <v>5600</v>
      </c>
      <c r="K198" s="6" t="n">
        <v>0</v>
      </c>
      <c r="L198" s="6" t="n">
        <v>4</v>
      </c>
      <c r="M198" s="6" t="s">
        <v>1341</v>
      </c>
      <c r="N198" s="6" t="s">
        <v>1472</v>
      </c>
      <c r="O198" s="8" t="b">
        <f aca="false">TRUE()</f>
        <v>1</v>
      </c>
      <c r="P198" s="6" t="s">
        <v>1473</v>
      </c>
      <c r="Q198" s="6" t="s">
        <v>1474</v>
      </c>
      <c r="R198" s="6" t="s">
        <v>1474</v>
      </c>
      <c r="S198" s="9" t="b">
        <f aca="false">FALSE()</f>
        <v>0</v>
      </c>
      <c r="T198" s="6"/>
      <c r="U198" s="6"/>
      <c r="V198" s="6"/>
      <c r="W198" s="6"/>
    </row>
    <row r="199" customFormat="false" ht="15" hidden="false" customHeight="false" outlineLevel="0" collapsed="false">
      <c r="A199" s="6" t="s">
        <v>606</v>
      </c>
      <c r="B199" s="6" t="s">
        <v>1475</v>
      </c>
      <c r="C199" s="6" t="s">
        <v>1476</v>
      </c>
      <c r="D199" s="6" t="s">
        <v>39</v>
      </c>
      <c r="E199" s="6" t="s">
        <v>40</v>
      </c>
      <c r="F199" s="6"/>
      <c r="G199" s="6" t="s">
        <v>41</v>
      </c>
      <c r="H199" s="6" t="s">
        <v>57</v>
      </c>
      <c r="I199" s="7" t="n">
        <v>3500</v>
      </c>
      <c r="J199" s="7" t="n">
        <v>5600</v>
      </c>
      <c r="K199" s="6" t="n">
        <v>0</v>
      </c>
      <c r="L199" s="6" t="n">
        <v>4</v>
      </c>
      <c r="M199" s="6" t="s">
        <v>51</v>
      </c>
      <c r="N199" s="6" t="s">
        <v>1477</v>
      </c>
      <c r="O199" s="8" t="b">
        <f aca="false">TRUE()</f>
        <v>1</v>
      </c>
      <c r="P199" s="6" t="s">
        <v>1478</v>
      </c>
      <c r="Q199" s="6" t="s">
        <v>1474</v>
      </c>
      <c r="R199" s="6" t="s">
        <v>1474</v>
      </c>
      <c r="S199" s="9" t="b">
        <f aca="false">FALSE()</f>
        <v>0</v>
      </c>
      <c r="T199" s="6"/>
      <c r="U199" s="6"/>
      <c r="V199" s="6"/>
      <c r="W199" s="6"/>
    </row>
    <row r="200" customFormat="false" ht="15" hidden="false" customHeight="false" outlineLevel="0" collapsed="false">
      <c r="A200" s="6" t="s">
        <v>1479</v>
      </c>
      <c r="B200" s="6" t="s">
        <v>1480</v>
      </c>
      <c r="C200" s="6" t="s">
        <v>1481</v>
      </c>
      <c r="D200" s="6" t="s">
        <v>39</v>
      </c>
      <c r="E200" s="6" t="s">
        <v>40</v>
      </c>
      <c r="F200" s="6"/>
      <c r="G200" s="6" t="s">
        <v>41</v>
      </c>
      <c r="H200" s="6" t="s">
        <v>42</v>
      </c>
      <c r="I200" s="7" t="n">
        <v>3500</v>
      </c>
      <c r="J200" s="7" t="n">
        <v>5600</v>
      </c>
      <c r="K200" s="6" t="n">
        <v>0</v>
      </c>
      <c r="L200" s="6" t="n">
        <v>4</v>
      </c>
      <c r="M200" s="6" t="s">
        <v>51</v>
      </c>
      <c r="N200" s="6" t="s">
        <v>1482</v>
      </c>
      <c r="O200" s="8" t="b">
        <f aca="false">TRUE()</f>
        <v>1</v>
      </c>
      <c r="P200" s="6" t="s">
        <v>1483</v>
      </c>
      <c r="Q200" s="6" t="s">
        <v>1474</v>
      </c>
      <c r="R200" s="6" t="s">
        <v>1474</v>
      </c>
      <c r="S200" s="9" t="b">
        <f aca="false">FALSE()</f>
        <v>0</v>
      </c>
      <c r="T200" s="6"/>
      <c r="U200" s="6"/>
      <c r="V200" s="6"/>
      <c r="W200" s="6"/>
    </row>
    <row r="201" customFormat="false" ht="15" hidden="false" customHeight="false" outlineLevel="0" collapsed="false">
      <c r="A201" s="6" t="s">
        <v>1484</v>
      </c>
      <c r="B201" s="6" t="s">
        <v>1485</v>
      </c>
      <c r="C201" s="6" t="s">
        <v>1486</v>
      </c>
      <c r="D201" s="6" t="s">
        <v>39</v>
      </c>
      <c r="E201" s="6" t="s">
        <v>40</v>
      </c>
      <c r="F201" s="6"/>
      <c r="G201" s="6"/>
      <c r="H201" s="6" t="s">
        <v>1487</v>
      </c>
      <c r="I201" s="7" t="n">
        <v>3500</v>
      </c>
      <c r="J201" s="7" t="n">
        <v>5600</v>
      </c>
      <c r="K201" s="6" t="n">
        <v>0</v>
      </c>
      <c r="L201" s="6" t="n">
        <v>3</v>
      </c>
      <c r="M201" s="6" t="s">
        <v>1488</v>
      </c>
      <c r="N201" s="6" t="s">
        <v>1489</v>
      </c>
      <c r="O201" s="8" t="b">
        <f aca="false">TRUE()</f>
        <v>1</v>
      </c>
      <c r="P201" s="6" t="s">
        <v>1490</v>
      </c>
      <c r="Q201" s="6" t="s">
        <v>1491</v>
      </c>
      <c r="R201" s="6" t="s">
        <v>1492</v>
      </c>
      <c r="S201" s="9" t="b">
        <f aca="false">FALSE()</f>
        <v>0</v>
      </c>
      <c r="T201" s="6"/>
      <c r="U201" s="6"/>
      <c r="V201" s="6"/>
      <c r="W201" s="6"/>
    </row>
    <row r="202" customFormat="false" ht="15" hidden="false" customHeight="false" outlineLevel="0" collapsed="false">
      <c r="A202" s="6" t="s">
        <v>1493</v>
      </c>
      <c r="B202" s="6" t="s">
        <v>1494</v>
      </c>
      <c r="C202" s="6" t="s">
        <v>1495</v>
      </c>
      <c r="D202" s="6" t="s">
        <v>39</v>
      </c>
      <c r="E202" s="6" t="s">
        <v>40</v>
      </c>
      <c r="F202" s="6"/>
      <c r="G202" s="6"/>
      <c r="H202" s="6" t="s">
        <v>1487</v>
      </c>
      <c r="I202" s="7" t="n">
        <v>3500</v>
      </c>
      <c r="J202" s="7" t="n">
        <v>5600</v>
      </c>
      <c r="K202" s="6" t="n">
        <v>0</v>
      </c>
      <c r="L202" s="6" t="n">
        <v>3</v>
      </c>
      <c r="M202" s="6" t="s">
        <v>1488</v>
      </c>
      <c r="N202" s="6" t="s">
        <v>1496</v>
      </c>
      <c r="O202" s="8" t="b">
        <f aca="false">TRUE()</f>
        <v>1</v>
      </c>
      <c r="P202" s="6" t="s">
        <v>1497</v>
      </c>
      <c r="Q202" s="6" t="s">
        <v>1491</v>
      </c>
      <c r="R202" s="6" t="s">
        <v>1492</v>
      </c>
      <c r="S202" s="9" t="b">
        <f aca="false">FALSE()</f>
        <v>0</v>
      </c>
      <c r="T202" s="6"/>
      <c r="U202" s="6"/>
      <c r="V202" s="6"/>
      <c r="W202" s="6"/>
    </row>
    <row r="203" customFormat="false" ht="15" hidden="false" customHeight="false" outlineLevel="0" collapsed="false">
      <c r="A203" s="6" t="s">
        <v>1498</v>
      </c>
      <c r="B203" s="6" t="s">
        <v>1499</v>
      </c>
      <c r="C203" s="6" t="s">
        <v>1500</v>
      </c>
      <c r="D203" s="6" t="s">
        <v>39</v>
      </c>
      <c r="E203" s="6" t="s">
        <v>40</v>
      </c>
      <c r="F203" s="6"/>
      <c r="G203" s="6"/>
      <c r="H203" s="6" t="s">
        <v>1487</v>
      </c>
      <c r="I203" s="7" t="n">
        <v>3500</v>
      </c>
      <c r="J203" s="7" t="n">
        <v>5600</v>
      </c>
      <c r="K203" s="6" t="n">
        <v>0</v>
      </c>
      <c r="L203" s="6" t="n">
        <v>3</v>
      </c>
      <c r="M203" s="6" t="s">
        <v>1488</v>
      </c>
      <c r="N203" s="6" t="s">
        <v>1501</v>
      </c>
      <c r="O203" s="8" t="b">
        <f aca="false">TRUE()</f>
        <v>1</v>
      </c>
      <c r="P203" s="6" t="s">
        <v>1502</v>
      </c>
      <c r="Q203" s="6" t="s">
        <v>1491</v>
      </c>
      <c r="R203" s="6" t="s">
        <v>1492</v>
      </c>
      <c r="S203" s="9" t="b">
        <f aca="false">FALSE()</f>
        <v>0</v>
      </c>
      <c r="T203" s="6"/>
      <c r="U203" s="6"/>
      <c r="V203" s="6"/>
      <c r="W203" s="6"/>
    </row>
    <row r="204" customFormat="false" ht="15" hidden="false" customHeight="false" outlineLevel="0" collapsed="false">
      <c r="A204" s="6" t="s">
        <v>1503</v>
      </c>
      <c r="B204" s="6" t="s">
        <v>1504</v>
      </c>
      <c r="C204" s="6" t="s">
        <v>1505</v>
      </c>
      <c r="D204" s="6" t="s">
        <v>39</v>
      </c>
      <c r="E204" s="6" t="s">
        <v>40</v>
      </c>
      <c r="F204" s="6"/>
      <c r="G204" s="6"/>
      <c r="H204" s="6" t="s">
        <v>1487</v>
      </c>
      <c r="I204" s="7" t="n">
        <v>3500</v>
      </c>
      <c r="J204" s="7" t="n">
        <v>5600</v>
      </c>
      <c r="K204" s="6" t="n">
        <v>0</v>
      </c>
      <c r="L204" s="6" t="n">
        <v>3</v>
      </c>
      <c r="M204" s="6" t="s">
        <v>1488</v>
      </c>
      <c r="N204" s="6" t="s">
        <v>1506</v>
      </c>
      <c r="O204" s="8" t="b">
        <f aca="false">TRUE()</f>
        <v>1</v>
      </c>
      <c r="P204" s="6" t="s">
        <v>1507</v>
      </c>
      <c r="Q204" s="6" t="s">
        <v>1491</v>
      </c>
      <c r="R204" s="6" t="s">
        <v>1492</v>
      </c>
      <c r="S204" s="9" t="b">
        <f aca="false">FALSE()</f>
        <v>0</v>
      </c>
      <c r="T204" s="6"/>
      <c r="U204" s="6"/>
      <c r="V204" s="6"/>
      <c r="W204" s="6"/>
    </row>
    <row r="205" customFormat="false" ht="15" hidden="false" customHeight="false" outlineLevel="0" collapsed="false">
      <c r="A205" s="6" t="s">
        <v>1508</v>
      </c>
      <c r="B205" s="6" t="s">
        <v>1509</v>
      </c>
      <c r="C205" s="6" t="s">
        <v>1510</v>
      </c>
      <c r="D205" s="6" t="s">
        <v>39</v>
      </c>
      <c r="E205" s="6" t="s">
        <v>40</v>
      </c>
      <c r="F205" s="6"/>
      <c r="G205" s="6"/>
      <c r="H205" s="6" t="s">
        <v>1487</v>
      </c>
      <c r="I205" s="7" t="n">
        <v>4000</v>
      </c>
      <c r="J205" s="7" t="n">
        <v>5600</v>
      </c>
      <c r="K205" s="6" t="n">
        <v>0</v>
      </c>
      <c r="L205" s="6" t="n">
        <v>3</v>
      </c>
      <c r="M205" s="6" t="s">
        <v>1511</v>
      </c>
      <c r="N205" s="6" t="s">
        <v>1512</v>
      </c>
      <c r="O205" s="8" t="b">
        <f aca="false">TRUE()</f>
        <v>1</v>
      </c>
      <c r="P205" s="6" t="s">
        <v>1513</v>
      </c>
      <c r="Q205" s="6" t="s">
        <v>1491</v>
      </c>
      <c r="R205" s="6" t="s">
        <v>1492</v>
      </c>
      <c r="S205" s="9" t="b">
        <f aca="false">FALSE()</f>
        <v>0</v>
      </c>
      <c r="T205" s="6"/>
      <c r="U205" s="6"/>
      <c r="V205" s="6"/>
      <c r="W205" s="6"/>
    </row>
    <row r="206" customFormat="false" ht="15" hidden="false" customHeight="false" outlineLevel="0" collapsed="false">
      <c r="A206" s="6" t="s">
        <v>1514</v>
      </c>
      <c r="B206" s="6" t="s">
        <v>1515</v>
      </c>
      <c r="C206" s="6" t="s">
        <v>1516</v>
      </c>
      <c r="D206" s="6" t="s">
        <v>39</v>
      </c>
      <c r="E206" s="6" t="s">
        <v>40</v>
      </c>
      <c r="F206" s="6"/>
      <c r="G206" s="6"/>
      <c r="H206" s="6" t="s">
        <v>1517</v>
      </c>
      <c r="I206" s="7" t="n">
        <v>4000</v>
      </c>
      <c r="J206" s="7" t="n">
        <v>5600</v>
      </c>
      <c r="K206" s="6" t="n">
        <v>0</v>
      </c>
      <c r="L206" s="6" t="n">
        <v>3</v>
      </c>
      <c r="M206" s="6" t="s">
        <v>1511</v>
      </c>
      <c r="N206" s="6" t="s">
        <v>1518</v>
      </c>
      <c r="O206" s="8" t="b">
        <f aca="false">TRUE()</f>
        <v>1</v>
      </c>
      <c r="P206" s="6" t="s">
        <v>1519</v>
      </c>
      <c r="Q206" s="6" t="s">
        <v>1491</v>
      </c>
      <c r="R206" s="6" t="s">
        <v>1492</v>
      </c>
      <c r="S206" s="9" t="b">
        <f aca="false">FALSE()</f>
        <v>0</v>
      </c>
      <c r="T206" s="6"/>
      <c r="U206" s="6"/>
      <c r="V206" s="6"/>
      <c r="W206" s="6"/>
    </row>
    <row r="207" customFormat="false" ht="15" hidden="false" customHeight="false" outlineLevel="0" collapsed="false">
      <c r="A207" s="6" t="s">
        <v>1520</v>
      </c>
      <c r="B207" s="6" t="s">
        <v>1521</v>
      </c>
      <c r="C207" s="6" t="s">
        <v>1522</v>
      </c>
      <c r="D207" s="6" t="s">
        <v>39</v>
      </c>
      <c r="E207" s="6" t="s">
        <v>40</v>
      </c>
      <c r="F207" s="6"/>
      <c r="G207" s="6"/>
      <c r="H207" s="6" t="s">
        <v>1487</v>
      </c>
      <c r="I207" s="7" t="n">
        <v>4000</v>
      </c>
      <c r="J207" s="7" t="n">
        <v>5800</v>
      </c>
      <c r="K207" s="6" t="n">
        <v>0</v>
      </c>
      <c r="L207" s="6" t="n">
        <v>3</v>
      </c>
      <c r="M207" s="6" t="s">
        <v>1523</v>
      </c>
      <c r="N207" s="6" t="s">
        <v>1524</v>
      </c>
      <c r="O207" s="8" t="b">
        <f aca="false">TRUE()</f>
        <v>1</v>
      </c>
      <c r="P207" s="6" t="s">
        <v>1525</v>
      </c>
      <c r="Q207" s="6" t="s">
        <v>1491</v>
      </c>
      <c r="R207" s="6" t="s">
        <v>1492</v>
      </c>
      <c r="S207" s="9" t="b">
        <f aca="false">FALSE()</f>
        <v>0</v>
      </c>
      <c r="T207" s="6"/>
      <c r="U207" s="6"/>
      <c r="V207" s="6"/>
      <c r="W207" s="6"/>
    </row>
    <row r="208" customFormat="false" ht="15" hidden="false" customHeight="false" outlineLevel="0" collapsed="false">
      <c r="A208" s="6" t="s">
        <v>1526</v>
      </c>
      <c r="B208" s="6" t="s">
        <v>1527</v>
      </c>
      <c r="C208" s="6" t="s">
        <v>1528</v>
      </c>
      <c r="D208" s="6" t="s">
        <v>39</v>
      </c>
      <c r="E208" s="6" t="s">
        <v>40</v>
      </c>
      <c r="F208" s="6"/>
      <c r="G208" s="6"/>
      <c r="H208" s="6" t="s">
        <v>1487</v>
      </c>
      <c r="I208" s="7" t="n">
        <v>4200</v>
      </c>
      <c r="J208" s="7" t="n">
        <v>5600</v>
      </c>
      <c r="K208" s="6" t="n">
        <v>0</v>
      </c>
      <c r="L208" s="6" t="n">
        <v>2</v>
      </c>
      <c r="M208" s="6" t="s">
        <v>1529</v>
      </c>
      <c r="N208" s="6" t="s">
        <v>1530</v>
      </c>
      <c r="O208" s="8" t="b">
        <f aca="false">TRUE()</f>
        <v>1</v>
      </c>
      <c r="P208" s="6" t="s">
        <v>1531</v>
      </c>
      <c r="Q208" s="6" t="s">
        <v>1491</v>
      </c>
      <c r="R208" s="6" t="s">
        <v>1492</v>
      </c>
      <c r="S208" s="9" t="b">
        <f aca="false">FALSE()</f>
        <v>0</v>
      </c>
      <c r="T208" s="6"/>
      <c r="U208" s="6"/>
      <c r="V208" s="6"/>
      <c r="W208" s="6"/>
    </row>
    <row r="209" customFormat="false" ht="15" hidden="false" customHeight="false" outlineLevel="0" collapsed="false">
      <c r="A209" s="6" t="s">
        <v>1532</v>
      </c>
      <c r="B209" s="6" t="s">
        <v>1533</v>
      </c>
      <c r="C209" s="6" t="s">
        <v>1534</v>
      </c>
      <c r="D209" s="6" t="s">
        <v>39</v>
      </c>
      <c r="E209" s="6" t="s">
        <v>40</v>
      </c>
      <c r="F209" s="6"/>
      <c r="G209" s="6"/>
      <c r="H209" s="6" t="s">
        <v>1487</v>
      </c>
      <c r="I209" s="7" t="n">
        <v>4200</v>
      </c>
      <c r="J209" s="7" t="n">
        <v>5600</v>
      </c>
      <c r="K209" s="6" t="n">
        <v>0</v>
      </c>
      <c r="L209" s="6" t="n">
        <v>2</v>
      </c>
      <c r="M209" s="6" t="s">
        <v>1529</v>
      </c>
      <c r="N209" s="6" t="s">
        <v>1535</v>
      </c>
      <c r="O209" s="8" t="b">
        <f aca="false">TRUE()</f>
        <v>1</v>
      </c>
      <c r="P209" s="6" t="s">
        <v>1536</v>
      </c>
      <c r="Q209" s="6" t="s">
        <v>1491</v>
      </c>
      <c r="R209" s="6" t="s">
        <v>1492</v>
      </c>
      <c r="S209" s="9" t="b">
        <f aca="false">FALSE()</f>
        <v>0</v>
      </c>
      <c r="T209" s="6"/>
      <c r="U209" s="6"/>
      <c r="V209" s="6"/>
      <c r="W209" s="6"/>
    </row>
    <row r="210" customFormat="false" ht="15" hidden="false" customHeight="false" outlineLevel="0" collapsed="false">
      <c r="A210" s="6" t="s">
        <v>1537</v>
      </c>
      <c r="B210" s="6" t="s">
        <v>1538</v>
      </c>
      <c r="C210" s="6" t="s">
        <v>1539</v>
      </c>
      <c r="D210" s="6" t="s">
        <v>39</v>
      </c>
      <c r="E210" s="6" t="s">
        <v>40</v>
      </c>
      <c r="F210" s="6"/>
      <c r="G210" s="6"/>
      <c r="H210" s="6" t="s">
        <v>1487</v>
      </c>
      <c r="I210" s="7" t="n">
        <v>4200</v>
      </c>
      <c r="J210" s="7" t="n">
        <v>5600</v>
      </c>
      <c r="K210" s="6" t="n">
        <v>0</v>
      </c>
      <c r="L210" s="6" t="n">
        <v>2</v>
      </c>
      <c r="M210" s="6" t="s">
        <v>1540</v>
      </c>
      <c r="N210" s="6" t="s">
        <v>1541</v>
      </c>
      <c r="O210" s="8" t="b">
        <f aca="false">TRUE()</f>
        <v>1</v>
      </c>
      <c r="P210" s="6" t="s">
        <v>1542</v>
      </c>
      <c r="Q210" s="6" t="s">
        <v>1491</v>
      </c>
      <c r="R210" s="6" t="s">
        <v>1492</v>
      </c>
      <c r="S210" s="9" t="b">
        <f aca="false">FALSE()</f>
        <v>0</v>
      </c>
      <c r="T210" s="6"/>
      <c r="U210" s="6"/>
      <c r="V210" s="6"/>
      <c r="W210" s="6"/>
    </row>
    <row r="211" customFormat="false" ht="15" hidden="false" customHeight="false" outlineLevel="0" collapsed="false">
      <c r="A211" s="6" t="s">
        <v>1543</v>
      </c>
      <c r="B211" s="6" t="s">
        <v>1544</v>
      </c>
      <c r="C211" s="6" t="s">
        <v>1545</v>
      </c>
      <c r="D211" s="6" t="s">
        <v>39</v>
      </c>
      <c r="E211" s="6" t="s">
        <v>40</v>
      </c>
      <c r="F211" s="6"/>
      <c r="G211" s="6"/>
      <c r="H211" s="6" t="s">
        <v>1517</v>
      </c>
      <c r="I211" s="7" t="n">
        <v>4000</v>
      </c>
      <c r="J211" s="7" t="n">
        <v>4600</v>
      </c>
      <c r="K211" s="6" t="n">
        <v>0</v>
      </c>
      <c r="L211" s="6" t="n">
        <v>2</v>
      </c>
      <c r="M211" s="6" t="s">
        <v>1546</v>
      </c>
      <c r="N211" s="6" t="s">
        <v>1547</v>
      </c>
      <c r="O211" s="8" t="b">
        <f aca="false">TRUE()</f>
        <v>1</v>
      </c>
      <c r="P211" s="6" t="s">
        <v>1548</v>
      </c>
      <c r="Q211" s="6" t="s">
        <v>1491</v>
      </c>
      <c r="R211" s="6" t="s">
        <v>1492</v>
      </c>
      <c r="S211" s="9" t="b">
        <f aca="false">FALSE()</f>
        <v>0</v>
      </c>
      <c r="T211" s="6"/>
      <c r="U211" s="6"/>
      <c r="V211" s="6"/>
      <c r="W211" s="6"/>
    </row>
    <row r="212" customFormat="false" ht="15" hidden="false" customHeight="false" outlineLevel="0" collapsed="false">
      <c r="A212" s="6" t="s">
        <v>1549</v>
      </c>
      <c r="B212" s="6" t="s">
        <v>1550</v>
      </c>
      <c r="C212" s="6" t="s">
        <v>1551</v>
      </c>
      <c r="D212" s="6" t="s">
        <v>39</v>
      </c>
      <c r="E212" s="6" t="s">
        <v>40</v>
      </c>
      <c r="F212" s="6"/>
      <c r="G212" s="6"/>
      <c r="H212" s="6" t="s">
        <v>1487</v>
      </c>
      <c r="I212" s="7" t="n">
        <v>4000</v>
      </c>
      <c r="J212" s="7" t="n">
        <v>5800</v>
      </c>
      <c r="K212" s="6" t="n">
        <v>0</v>
      </c>
      <c r="L212" s="6" t="n">
        <v>3</v>
      </c>
      <c r="M212" s="6" t="s">
        <v>1552</v>
      </c>
      <c r="N212" s="6" t="s">
        <v>1553</v>
      </c>
      <c r="O212" s="8" t="b">
        <f aca="false">TRUE()</f>
        <v>1</v>
      </c>
      <c r="P212" s="6" t="s">
        <v>1554</v>
      </c>
      <c r="Q212" s="6" t="s">
        <v>1491</v>
      </c>
      <c r="R212" s="6" t="s">
        <v>1492</v>
      </c>
      <c r="S212" s="9" t="b">
        <f aca="false">FALSE()</f>
        <v>0</v>
      </c>
      <c r="T212" s="6"/>
      <c r="U212" s="6"/>
      <c r="V212" s="6"/>
      <c r="W212" s="6"/>
    </row>
    <row r="213" customFormat="false" ht="15" hidden="false" customHeight="false" outlineLevel="0" collapsed="false">
      <c r="A213" s="6" t="s">
        <v>1555</v>
      </c>
      <c r="B213" s="6" t="s">
        <v>1556</v>
      </c>
      <c r="C213" s="6" t="s">
        <v>1557</v>
      </c>
      <c r="D213" s="6" t="s">
        <v>39</v>
      </c>
      <c r="E213" s="6" t="s">
        <v>40</v>
      </c>
      <c r="F213" s="6"/>
      <c r="G213" s="6"/>
      <c r="H213" s="6" t="s">
        <v>1487</v>
      </c>
      <c r="I213" s="7" t="n">
        <v>4000</v>
      </c>
      <c r="J213" s="7" t="n">
        <v>5800</v>
      </c>
      <c r="K213" s="6" t="n">
        <v>0</v>
      </c>
      <c r="L213" s="6" t="n">
        <v>3</v>
      </c>
      <c r="M213" s="6" t="s">
        <v>1558</v>
      </c>
      <c r="N213" s="6" t="s">
        <v>1559</v>
      </c>
      <c r="O213" s="8" t="b">
        <f aca="false">TRUE()</f>
        <v>1</v>
      </c>
      <c r="P213" s="6" t="s">
        <v>1560</v>
      </c>
      <c r="Q213" s="6" t="s">
        <v>1491</v>
      </c>
      <c r="R213" s="6" t="s">
        <v>1492</v>
      </c>
      <c r="S213" s="9" t="b">
        <f aca="false">FALSE()</f>
        <v>0</v>
      </c>
      <c r="T213" s="6"/>
      <c r="U213" s="6"/>
      <c r="V213" s="6"/>
      <c r="W213" s="6"/>
    </row>
    <row r="214" customFormat="false" ht="15" hidden="false" customHeight="false" outlineLevel="0" collapsed="false">
      <c r="A214" s="6" t="s">
        <v>1561</v>
      </c>
      <c r="B214" s="6" t="s">
        <v>1562</v>
      </c>
      <c r="C214" s="6" t="s">
        <v>1563</v>
      </c>
      <c r="D214" s="6" t="s">
        <v>39</v>
      </c>
      <c r="E214" s="6" t="s">
        <v>40</v>
      </c>
      <c r="F214" s="6"/>
      <c r="G214" s="6"/>
      <c r="H214" s="6" t="s">
        <v>1487</v>
      </c>
      <c r="I214" s="7" t="n">
        <v>3500</v>
      </c>
      <c r="J214" s="7" t="n">
        <v>5600</v>
      </c>
      <c r="K214" s="6" t="n">
        <v>0</v>
      </c>
      <c r="L214" s="6" t="n">
        <v>3</v>
      </c>
      <c r="M214" s="6" t="s">
        <v>1564</v>
      </c>
      <c r="N214" s="6" t="s">
        <v>1565</v>
      </c>
      <c r="O214" s="8" t="b">
        <f aca="false">TRUE()</f>
        <v>1</v>
      </c>
      <c r="P214" s="6" t="s">
        <v>1566</v>
      </c>
      <c r="Q214" s="6" t="s">
        <v>1567</v>
      </c>
      <c r="R214" s="6" t="s">
        <v>1492</v>
      </c>
      <c r="S214" s="9" t="b">
        <f aca="false">FALSE()</f>
        <v>0</v>
      </c>
      <c r="T214" s="6"/>
      <c r="U214" s="6"/>
      <c r="V214" s="6"/>
      <c r="W214" s="6"/>
    </row>
    <row r="215" customFormat="false" ht="15" hidden="false" customHeight="false" outlineLevel="0" collapsed="false">
      <c r="A215" s="6" t="s">
        <v>1568</v>
      </c>
      <c r="B215" s="6" t="s">
        <v>1569</v>
      </c>
      <c r="C215" s="6" t="s">
        <v>1570</v>
      </c>
      <c r="D215" s="6" t="s">
        <v>39</v>
      </c>
      <c r="E215" s="6" t="s">
        <v>40</v>
      </c>
      <c r="F215" s="6"/>
      <c r="G215" s="6"/>
      <c r="H215" s="6" t="s">
        <v>1487</v>
      </c>
      <c r="I215" s="7" t="n">
        <v>5000</v>
      </c>
      <c r="J215" s="7" t="n">
        <v>5600</v>
      </c>
      <c r="K215" s="6" t="n">
        <v>0</v>
      </c>
      <c r="L215" s="6" t="n">
        <v>2</v>
      </c>
      <c r="M215" s="6" t="s">
        <v>157</v>
      </c>
      <c r="N215" s="6" t="s">
        <v>1571</v>
      </c>
      <c r="O215" s="8" t="b">
        <f aca="false">TRUE()</f>
        <v>1</v>
      </c>
      <c r="P215" s="6" t="s">
        <v>1572</v>
      </c>
      <c r="Q215" s="6" t="s">
        <v>1567</v>
      </c>
      <c r="R215" s="6" t="s">
        <v>1492</v>
      </c>
      <c r="S215" s="9" t="b">
        <f aca="false">FALSE()</f>
        <v>0</v>
      </c>
      <c r="T215" s="6"/>
      <c r="U215" s="6"/>
      <c r="V215" s="6"/>
      <c r="W215" s="6"/>
    </row>
    <row r="216" customFormat="false" ht="15" hidden="false" customHeight="false" outlineLevel="0" collapsed="false">
      <c r="A216" s="6" t="s">
        <v>1573</v>
      </c>
      <c r="B216" s="6" t="s">
        <v>1574</v>
      </c>
      <c r="C216" s="6" t="s">
        <v>1575</v>
      </c>
      <c r="D216" s="6" t="s">
        <v>39</v>
      </c>
      <c r="E216" s="6" t="s">
        <v>40</v>
      </c>
      <c r="F216" s="6"/>
      <c r="G216" s="6"/>
      <c r="H216" s="6" t="s">
        <v>1517</v>
      </c>
      <c r="I216" s="7" t="n">
        <v>3500</v>
      </c>
      <c r="J216" s="7" t="n">
        <v>5600</v>
      </c>
      <c r="K216" s="6" t="n">
        <v>0</v>
      </c>
      <c r="L216" s="6" t="n">
        <v>3</v>
      </c>
      <c r="M216" s="6" t="s">
        <v>1564</v>
      </c>
      <c r="N216" s="6" t="s">
        <v>1576</v>
      </c>
      <c r="O216" s="8" t="b">
        <f aca="false">TRUE()</f>
        <v>1</v>
      </c>
      <c r="P216" s="6" t="s">
        <v>1577</v>
      </c>
      <c r="Q216" s="6" t="s">
        <v>1567</v>
      </c>
      <c r="R216" s="6" t="s">
        <v>1492</v>
      </c>
      <c r="S216" s="9" t="b">
        <f aca="false">FALSE()</f>
        <v>0</v>
      </c>
      <c r="T216" s="6"/>
      <c r="U216" s="6"/>
      <c r="V216" s="6"/>
      <c r="W216" s="6"/>
    </row>
    <row r="217" customFormat="false" ht="15" hidden="false" customHeight="false" outlineLevel="0" collapsed="false">
      <c r="A217" s="6" t="s">
        <v>1578</v>
      </c>
      <c r="B217" s="6" t="s">
        <v>1579</v>
      </c>
      <c r="C217" s="6" t="s">
        <v>1580</v>
      </c>
      <c r="D217" s="6" t="s">
        <v>39</v>
      </c>
      <c r="E217" s="6" t="s">
        <v>40</v>
      </c>
      <c r="F217" s="6"/>
      <c r="G217" s="6"/>
      <c r="H217" s="6" t="s">
        <v>1487</v>
      </c>
      <c r="I217" s="7" t="n">
        <v>4000</v>
      </c>
      <c r="J217" s="7" t="n">
        <v>5800</v>
      </c>
      <c r="K217" s="6" t="n">
        <v>0</v>
      </c>
      <c r="L217" s="6" t="n">
        <v>3</v>
      </c>
      <c r="M217" s="6" t="s">
        <v>1523</v>
      </c>
      <c r="N217" s="6" t="s">
        <v>1581</v>
      </c>
      <c r="O217" s="8" t="b">
        <f aca="false">TRUE()</f>
        <v>1</v>
      </c>
      <c r="P217" s="6" t="s">
        <v>1582</v>
      </c>
      <c r="Q217" s="6" t="s">
        <v>1567</v>
      </c>
      <c r="R217" s="6" t="s">
        <v>1492</v>
      </c>
      <c r="S217" s="9" t="b">
        <f aca="false">FALSE()</f>
        <v>0</v>
      </c>
      <c r="T217" s="6"/>
      <c r="U217" s="6"/>
      <c r="V217" s="6"/>
      <c r="W217" s="6"/>
    </row>
    <row r="218" customFormat="false" ht="15" hidden="false" customHeight="false" outlineLevel="0" collapsed="false">
      <c r="A218" s="6" t="s">
        <v>1583</v>
      </c>
      <c r="B218" s="6" t="s">
        <v>1584</v>
      </c>
      <c r="C218" s="6" t="s">
        <v>1585</v>
      </c>
      <c r="D218" s="6" t="s">
        <v>39</v>
      </c>
      <c r="E218" s="6" t="s">
        <v>40</v>
      </c>
      <c r="F218" s="6"/>
      <c r="G218" s="6"/>
      <c r="H218" s="6" t="s">
        <v>1487</v>
      </c>
      <c r="I218" s="7" t="n">
        <v>4000</v>
      </c>
      <c r="J218" s="7" t="n">
        <v>5800</v>
      </c>
      <c r="K218" s="6" t="n">
        <v>0</v>
      </c>
      <c r="L218" s="6" t="n">
        <v>3</v>
      </c>
      <c r="M218" s="6" t="s">
        <v>1523</v>
      </c>
      <c r="N218" s="6" t="s">
        <v>1586</v>
      </c>
      <c r="O218" s="8" t="b">
        <f aca="false">TRUE()</f>
        <v>1</v>
      </c>
      <c r="P218" s="6" t="s">
        <v>1587</v>
      </c>
      <c r="Q218" s="6" t="s">
        <v>1567</v>
      </c>
      <c r="R218" s="6" t="s">
        <v>1492</v>
      </c>
      <c r="S218" s="9" t="b">
        <f aca="false">FALSE()</f>
        <v>0</v>
      </c>
      <c r="T218" s="6"/>
      <c r="U218" s="6"/>
      <c r="V218" s="6"/>
      <c r="W218" s="6"/>
    </row>
    <row r="219" customFormat="false" ht="15" hidden="false" customHeight="false" outlineLevel="0" collapsed="false">
      <c r="A219" s="6" t="s">
        <v>1588</v>
      </c>
      <c r="B219" s="6" t="s">
        <v>1589</v>
      </c>
      <c r="C219" s="6" t="s">
        <v>1590</v>
      </c>
      <c r="D219" s="6" t="s">
        <v>39</v>
      </c>
      <c r="E219" s="6" t="s">
        <v>40</v>
      </c>
      <c r="F219" s="6"/>
      <c r="G219" s="6"/>
      <c r="H219" s="6" t="s">
        <v>1487</v>
      </c>
      <c r="I219" s="7" t="n">
        <v>4000</v>
      </c>
      <c r="J219" s="7" t="n">
        <v>5600</v>
      </c>
      <c r="K219" s="6" t="n">
        <v>0</v>
      </c>
      <c r="L219" s="6" t="n">
        <v>3</v>
      </c>
      <c r="M219" s="6" t="s">
        <v>1591</v>
      </c>
      <c r="N219" s="6" t="s">
        <v>1592</v>
      </c>
      <c r="O219" s="8" t="b">
        <f aca="false">TRUE()</f>
        <v>1</v>
      </c>
      <c r="P219" s="6" t="s">
        <v>1593</v>
      </c>
      <c r="Q219" s="6" t="s">
        <v>1567</v>
      </c>
      <c r="R219" s="6" t="s">
        <v>1492</v>
      </c>
      <c r="S219" s="9" t="b">
        <f aca="false">FALSE()</f>
        <v>0</v>
      </c>
      <c r="T219" s="6"/>
      <c r="U219" s="6"/>
      <c r="V219" s="6"/>
      <c r="W219" s="6"/>
    </row>
    <row r="220" customFormat="false" ht="15" hidden="false" customHeight="false" outlineLevel="0" collapsed="false">
      <c r="A220" s="6" t="s">
        <v>1594</v>
      </c>
      <c r="B220" s="6" t="s">
        <v>1595</v>
      </c>
      <c r="C220" s="6" t="s">
        <v>1596</v>
      </c>
      <c r="D220" s="6" t="s">
        <v>39</v>
      </c>
      <c r="E220" s="6" t="s">
        <v>40</v>
      </c>
      <c r="F220" s="6"/>
      <c r="G220" s="6"/>
      <c r="H220" s="6" t="s">
        <v>1487</v>
      </c>
      <c r="I220" s="7" t="n">
        <v>4000</v>
      </c>
      <c r="J220" s="7" t="n">
        <v>5800</v>
      </c>
      <c r="K220" s="6" t="n">
        <v>0</v>
      </c>
      <c r="L220" s="6" t="n">
        <v>3</v>
      </c>
      <c r="M220" s="6" t="s">
        <v>1523</v>
      </c>
      <c r="N220" s="6" t="s">
        <v>1597</v>
      </c>
      <c r="O220" s="8" t="b">
        <f aca="false">TRUE()</f>
        <v>1</v>
      </c>
      <c r="P220" s="6" t="s">
        <v>1598</v>
      </c>
      <c r="Q220" s="6" t="s">
        <v>1567</v>
      </c>
      <c r="R220" s="6" t="s">
        <v>1492</v>
      </c>
      <c r="S220" s="9" t="b">
        <f aca="false">FALSE()</f>
        <v>0</v>
      </c>
      <c r="T220" s="6"/>
      <c r="U220" s="6"/>
      <c r="V220" s="6"/>
      <c r="W220" s="6"/>
    </row>
    <row r="221" customFormat="false" ht="15" hidden="false" customHeight="false" outlineLevel="0" collapsed="false">
      <c r="A221" s="6" t="s">
        <v>1599</v>
      </c>
      <c r="B221" s="6" t="s">
        <v>1600</v>
      </c>
      <c r="C221" s="6" t="s">
        <v>1601</v>
      </c>
      <c r="D221" s="6" t="s">
        <v>39</v>
      </c>
      <c r="E221" s="6" t="s">
        <v>40</v>
      </c>
      <c r="F221" s="6"/>
      <c r="G221" s="6"/>
      <c r="H221" s="6" t="s">
        <v>1487</v>
      </c>
      <c r="I221" s="7" t="n">
        <v>4000</v>
      </c>
      <c r="J221" s="7" t="n">
        <v>5600</v>
      </c>
      <c r="K221" s="6" t="n">
        <v>0</v>
      </c>
      <c r="L221" s="6" t="n">
        <v>2</v>
      </c>
      <c r="M221" s="6" t="s">
        <v>1602</v>
      </c>
      <c r="N221" s="6" t="s">
        <v>1603</v>
      </c>
      <c r="O221" s="8" t="b">
        <f aca="false">TRUE()</f>
        <v>1</v>
      </c>
      <c r="P221" s="6" t="s">
        <v>1604</v>
      </c>
      <c r="Q221" s="6" t="s">
        <v>1567</v>
      </c>
      <c r="R221" s="6" t="s">
        <v>1492</v>
      </c>
      <c r="S221" s="9" t="b">
        <f aca="false">FALSE()</f>
        <v>0</v>
      </c>
      <c r="T221" s="6"/>
      <c r="U221" s="6"/>
      <c r="V221" s="6"/>
      <c r="W221" s="6"/>
    </row>
    <row r="222" customFormat="false" ht="15" hidden="false" customHeight="false" outlineLevel="0" collapsed="false">
      <c r="A222" s="6" t="s">
        <v>1605</v>
      </c>
      <c r="B222" s="6" t="s">
        <v>1606</v>
      </c>
      <c r="C222" s="6" t="s">
        <v>1607</v>
      </c>
      <c r="D222" s="6" t="s">
        <v>39</v>
      </c>
      <c r="E222" s="6" t="s">
        <v>40</v>
      </c>
      <c r="F222" s="6"/>
      <c r="G222" s="6"/>
      <c r="H222" s="6" t="s">
        <v>1487</v>
      </c>
      <c r="I222" s="7" t="n">
        <v>4000</v>
      </c>
      <c r="J222" s="7" t="n">
        <v>5600</v>
      </c>
      <c r="K222" s="6" t="n">
        <v>0</v>
      </c>
      <c r="L222" s="6" t="n">
        <v>2</v>
      </c>
      <c r="M222" s="6" t="s">
        <v>1602</v>
      </c>
      <c r="N222" s="6" t="s">
        <v>1608</v>
      </c>
      <c r="O222" s="8" t="b">
        <f aca="false">TRUE()</f>
        <v>1</v>
      </c>
      <c r="P222" s="6" t="s">
        <v>1609</v>
      </c>
      <c r="Q222" s="6" t="s">
        <v>1567</v>
      </c>
      <c r="R222" s="6" t="s">
        <v>1492</v>
      </c>
      <c r="S222" s="9" t="b">
        <f aca="false">FALSE()</f>
        <v>0</v>
      </c>
      <c r="T222" s="6"/>
      <c r="U222" s="6"/>
      <c r="V222" s="6"/>
      <c r="W222" s="6"/>
    </row>
    <row r="223" customFormat="false" ht="15" hidden="false" customHeight="false" outlineLevel="0" collapsed="false">
      <c r="A223" s="6" t="s">
        <v>1610</v>
      </c>
      <c r="B223" s="6" t="s">
        <v>1611</v>
      </c>
      <c r="C223" s="6" t="s">
        <v>1612</v>
      </c>
      <c r="D223" s="6" t="s">
        <v>39</v>
      </c>
      <c r="E223" s="6" t="s">
        <v>40</v>
      </c>
      <c r="F223" s="6"/>
      <c r="G223" s="6"/>
      <c r="H223" s="6" t="s">
        <v>1487</v>
      </c>
      <c r="I223" s="7" t="n">
        <v>4000</v>
      </c>
      <c r="J223" s="7" t="n">
        <v>5600</v>
      </c>
      <c r="K223" s="6" t="n">
        <v>0</v>
      </c>
      <c r="L223" s="6" t="n">
        <v>2</v>
      </c>
      <c r="M223" s="6" t="s">
        <v>1602</v>
      </c>
      <c r="N223" s="6" t="s">
        <v>1613</v>
      </c>
      <c r="O223" s="8" t="b">
        <f aca="false">TRUE()</f>
        <v>1</v>
      </c>
      <c r="P223" s="6" t="s">
        <v>1614</v>
      </c>
      <c r="Q223" s="6" t="s">
        <v>1567</v>
      </c>
      <c r="R223" s="6" t="s">
        <v>1492</v>
      </c>
      <c r="S223" s="9" t="b">
        <f aca="false">FALSE()</f>
        <v>0</v>
      </c>
      <c r="T223" s="6"/>
      <c r="U223" s="6"/>
      <c r="V223" s="6"/>
      <c r="W223" s="6"/>
    </row>
    <row r="224" customFormat="false" ht="15" hidden="false" customHeight="false" outlineLevel="0" collapsed="false">
      <c r="A224" s="6" t="s">
        <v>1615</v>
      </c>
      <c r="B224" s="6" t="s">
        <v>1616</v>
      </c>
      <c r="C224" s="6" t="s">
        <v>1617</v>
      </c>
      <c r="D224" s="6" t="s">
        <v>39</v>
      </c>
      <c r="E224" s="6" t="s">
        <v>40</v>
      </c>
      <c r="F224" s="6"/>
      <c r="G224" s="6"/>
      <c r="H224" s="6" t="s">
        <v>1487</v>
      </c>
      <c r="I224" s="7" t="n">
        <v>4000</v>
      </c>
      <c r="J224" s="7" t="n">
        <v>5800</v>
      </c>
      <c r="K224" s="6" t="n">
        <v>0</v>
      </c>
      <c r="L224" s="6" t="n">
        <v>3</v>
      </c>
      <c r="M224" s="6" t="s">
        <v>1552</v>
      </c>
      <c r="N224" s="6" t="s">
        <v>1618</v>
      </c>
      <c r="O224" s="8" t="b">
        <f aca="false">TRUE()</f>
        <v>1</v>
      </c>
      <c r="P224" s="6" t="s">
        <v>1619</v>
      </c>
      <c r="Q224" s="6" t="s">
        <v>1567</v>
      </c>
      <c r="R224" s="6" t="s">
        <v>1492</v>
      </c>
      <c r="S224" s="9" t="b">
        <f aca="false">FALSE()</f>
        <v>0</v>
      </c>
      <c r="T224" s="6"/>
      <c r="U224" s="6"/>
      <c r="V224" s="6"/>
      <c r="W224" s="6"/>
    </row>
    <row r="225" customFormat="false" ht="15" hidden="false" customHeight="false" outlineLevel="0" collapsed="false">
      <c r="A225" s="6" t="s">
        <v>1620</v>
      </c>
      <c r="B225" s="6" t="s">
        <v>1621</v>
      </c>
      <c r="C225" s="6" t="s">
        <v>1622</v>
      </c>
      <c r="D225" s="6" t="s">
        <v>39</v>
      </c>
      <c r="E225" s="6" t="s">
        <v>40</v>
      </c>
      <c r="F225" s="6"/>
      <c r="G225" s="6"/>
      <c r="H225" s="6" t="s">
        <v>1623</v>
      </c>
      <c r="I225" s="7" t="n">
        <v>3500</v>
      </c>
      <c r="J225" s="7" t="n">
        <v>5250</v>
      </c>
      <c r="K225" s="6" t="n">
        <v>0</v>
      </c>
      <c r="L225" s="6" t="n">
        <v>3</v>
      </c>
      <c r="M225" s="6" t="s">
        <v>1624</v>
      </c>
      <c r="N225" s="6" t="s">
        <v>1625</v>
      </c>
      <c r="O225" s="8" t="b">
        <f aca="false">TRUE()</f>
        <v>1</v>
      </c>
      <c r="P225" s="6" t="s">
        <v>1626</v>
      </c>
      <c r="Q225" s="6" t="s">
        <v>1567</v>
      </c>
      <c r="R225" s="6" t="s">
        <v>1492</v>
      </c>
      <c r="S225" s="9" t="b">
        <f aca="false">FALSE()</f>
        <v>0</v>
      </c>
      <c r="T225" s="6"/>
      <c r="U225" s="6"/>
      <c r="V225" s="6"/>
      <c r="W225" s="6"/>
    </row>
    <row r="226" customFormat="false" ht="15" hidden="false" customHeight="false" outlineLevel="0" collapsed="false">
      <c r="A226" s="6" t="s">
        <v>1627</v>
      </c>
      <c r="B226" s="6" t="s">
        <v>1628</v>
      </c>
      <c r="C226" s="6" t="s">
        <v>1629</v>
      </c>
      <c r="D226" s="6" t="s">
        <v>39</v>
      </c>
      <c r="E226" s="6" t="s">
        <v>40</v>
      </c>
      <c r="F226" s="6"/>
      <c r="G226" s="6"/>
      <c r="H226" s="6" t="s">
        <v>1630</v>
      </c>
      <c r="I226" s="7" t="n">
        <v>3500</v>
      </c>
      <c r="J226" s="7" t="n">
        <v>5250</v>
      </c>
      <c r="K226" s="6" t="n">
        <v>0</v>
      </c>
      <c r="L226" s="6" t="n">
        <v>3</v>
      </c>
      <c r="M226" s="6" t="s">
        <v>1624</v>
      </c>
      <c r="N226" s="6" t="s">
        <v>1631</v>
      </c>
      <c r="O226" s="8" t="b">
        <f aca="false">TRUE()</f>
        <v>1</v>
      </c>
      <c r="P226" s="6" t="s">
        <v>1632</v>
      </c>
      <c r="Q226" s="6" t="s">
        <v>1567</v>
      </c>
      <c r="R226" s="6" t="s">
        <v>1492</v>
      </c>
      <c r="S226" s="9" t="b">
        <f aca="false">FALSE()</f>
        <v>0</v>
      </c>
      <c r="T226" s="6"/>
      <c r="U226" s="6"/>
      <c r="V226" s="6"/>
      <c r="W226" s="6"/>
    </row>
    <row r="227" customFormat="false" ht="15" hidden="false" customHeight="false" outlineLevel="0" collapsed="false">
      <c r="A227" s="6" t="s">
        <v>1633</v>
      </c>
      <c r="B227" s="6" t="s">
        <v>1634</v>
      </c>
      <c r="C227" s="6" t="s">
        <v>1635</v>
      </c>
      <c r="D227" s="6" t="s">
        <v>39</v>
      </c>
      <c r="E227" s="6" t="s">
        <v>40</v>
      </c>
      <c r="F227" s="6"/>
      <c r="G227" s="6"/>
      <c r="H227" s="6" t="s">
        <v>1623</v>
      </c>
      <c r="I227" s="7" t="n">
        <v>3500</v>
      </c>
      <c r="J227" s="7" t="n">
        <v>5600</v>
      </c>
      <c r="K227" s="6" t="n">
        <v>0</v>
      </c>
      <c r="L227" s="6" t="n">
        <v>3</v>
      </c>
      <c r="M227" s="6" t="s">
        <v>1564</v>
      </c>
      <c r="N227" s="6" t="s">
        <v>1636</v>
      </c>
      <c r="O227" s="8" t="b">
        <f aca="false">TRUE()</f>
        <v>1</v>
      </c>
      <c r="P227" s="6" t="s">
        <v>1637</v>
      </c>
      <c r="Q227" s="6" t="s">
        <v>1567</v>
      </c>
      <c r="R227" s="6" t="s">
        <v>1492</v>
      </c>
      <c r="S227" s="9" t="b">
        <f aca="false">FALSE()</f>
        <v>0</v>
      </c>
      <c r="T227" s="6"/>
      <c r="U227" s="6"/>
      <c r="V227" s="6"/>
      <c r="W227" s="6"/>
    </row>
    <row r="228" customFormat="false" ht="15" hidden="false" customHeight="false" outlineLevel="0" collapsed="false">
      <c r="A228" s="6" t="s">
        <v>1638</v>
      </c>
      <c r="B228" s="6" t="s">
        <v>1639</v>
      </c>
      <c r="C228" s="6" t="s">
        <v>1640</v>
      </c>
      <c r="D228" s="6" t="s">
        <v>39</v>
      </c>
      <c r="E228" s="6" t="s">
        <v>40</v>
      </c>
      <c r="F228" s="6"/>
      <c r="G228" s="6"/>
      <c r="H228" s="6" t="s">
        <v>1623</v>
      </c>
      <c r="I228" s="7" t="n">
        <v>3500</v>
      </c>
      <c r="J228" s="7" t="n">
        <v>5600</v>
      </c>
      <c r="K228" s="6" t="n">
        <v>0</v>
      </c>
      <c r="L228" s="6" t="n">
        <v>3</v>
      </c>
      <c r="M228" s="6" t="s">
        <v>1564</v>
      </c>
      <c r="N228" s="6" t="s">
        <v>1641</v>
      </c>
      <c r="O228" s="8" t="b">
        <f aca="false">TRUE()</f>
        <v>1</v>
      </c>
      <c r="P228" s="6" t="s">
        <v>1642</v>
      </c>
      <c r="Q228" s="6" t="s">
        <v>1567</v>
      </c>
      <c r="R228" s="6" t="s">
        <v>1492</v>
      </c>
      <c r="S228" s="9" t="b">
        <f aca="false">FALSE()</f>
        <v>0</v>
      </c>
      <c r="T228" s="6"/>
      <c r="U228" s="6"/>
      <c r="V228" s="6"/>
      <c r="W228" s="6"/>
    </row>
    <row r="229" customFormat="false" ht="15" hidden="false" customHeight="false" outlineLevel="0" collapsed="false">
      <c r="A229" s="6" t="s">
        <v>1643</v>
      </c>
      <c r="B229" s="6" t="s">
        <v>1644</v>
      </c>
      <c r="C229" s="6" t="s">
        <v>1645</v>
      </c>
      <c r="D229" s="6" t="s">
        <v>39</v>
      </c>
      <c r="E229" s="6" t="s">
        <v>40</v>
      </c>
      <c r="F229" s="6"/>
      <c r="G229" s="6"/>
      <c r="H229" s="6" t="s">
        <v>1646</v>
      </c>
      <c r="I229" s="7" t="n">
        <v>3500</v>
      </c>
      <c r="J229" s="7" t="n">
        <v>5600</v>
      </c>
      <c r="K229" s="6" t="n">
        <v>0</v>
      </c>
      <c r="L229" s="6" t="n">
        <v>3</v>
      </c>
      <c r="M229" s="6" t="s">
        <v>1564</v>
      </c>
      <c r="N229" s="6" t="s">
        <v>1647</v>
      </c>
      <c r="O229" s="8" t="b">
        <f aca="false">TRUE()</f>
        <v>1</v>
      </c>
      <c r="P229" s="6" t="s">
        <v>1648</v>
      </c>
      <c r="Q229" s="6" t="s">
        <v>1567</v>
      </c>
      <c r="R229" s="6" t="s">
        <v>1492</v>
      </c>
      <c r="S229" s="9" t="b">
        <f aca="false">FALSE()</f>
        <v>0</v>
      </c>
      <c r="T229" s="6"/>
      <c r="U229" s="6"/>
      <c r="V229" s="6"/>
      <c r="W229" s="6"/>
    </row>
    <row r="230" customFormat="false" ht="15" hidden="false" customHeight="false" outlineLevel="0" collapsed="false">
      <c r="A230" s="6" t="s">
        <v>1649</v>
      </c>
      <c r="B230" s="6" t="s">
        <v>1650</v>
      </c>
      <c r="C230" s="6" t="s">
        <v>1651</v>
      </c>
      <c r="D230" s="6" t="s">
        <v>39</v>
      </c>
      <c r="E230" s="6" t="s">
        <v>40</v>
      </c>
      <c r="F230" s="6"/>
      <c r="G230" s="6"/>
      <c r="H230" s="6" t="s">
        <v>1652</v>
      </c>
      <c r="I230" s="7" t="n">
        <v>3500</v>
      </c>
      <c r="J230" s="7" t="n">
        <v>5600</v>
      </c>
      <c r="K230" s="6" t="n">
        <v>0</v>
      </c>
      <c r="L230" s="6" t="n">
        <v>3</v>
      </c>
      <c r="M230" s="6" t="s">
        <v>1564</v>
      </c>
      <c r="N230" s="6" t="s">
        <v>1653</v>
      </c>
      <c r="O230" s="8" t="b">
        <f aca="false">TRUE()</f>
        <v>1</v>
      </c>
      <c r="P230" s="6" t="s">
        <v>1654</v>
      </c>
      <c r="Q230" s="6" t="s">
        <v>1567</v>
      </c>
      <c r="R230" s="6" t="s">
        <v>1492</v>
      </c>
      <c r="S230" s="9" t="b">
        <f aca="false">FALSE()</f>
        <v>0</v>
      </c>
      <c r="T230" s="6"/>
      <c r="U230" s="6"/>
      <c r="V230" s="6"/>
      <c r="W230" s="6"/>
    </row>
    <row r="231" customFormat="false" ht="15" hidden="false" customHeight="false" outlineLevel="0" collapsed="false">
      <c r="A231" s="6" t="s">
        <v>1655</v>
      </c>
      <c r="B231" s="6" t="s">
        <v>1656</v>
      </c>
      <c r="C231" s="6" t="s">
        <v>1657</v>
      </c>
      <c r="D231" s="6" t="s">
        <v>39</v>
      </c>
      <c r="E231" s="6" t="s">
        <v>40</v>
      </c>
      <c r="F231" s="6"/>
      <c r="G231" s="6"/>
      <c r="H231" s="6" t="s">
        <v>1652</v>
      </c>
      <c r="I231" s="7" t="n">
        <v>3500</v>
      </c>
      <c r="J231" s="7" t="n">
        <v>9000</v>
      </c>
      <c r="K231" s="6" t="n">
        <v>0</v>
      </c>
      <c r="L231" s="6" t="n">
        <v>9</v>
      </c>
      <c r="M231" s="6" t="s">
        <v>1658</v>
      </c>
      <c r="N231" s="6" t="s">
        <v>1659</v>
      </c>
      <c r="O231" s="8" t="b">
        <f aca="false">TRUE()</f>
        <v>1</v>
      </c>
      <c r="P231" s="6" t="s">
        <v>1660</v>
      </c>
      <c r="Q231" s="6" t="s">
        <v>1567</v>
      </c>
      <c r="R231" s="6" t="s">
        <v>1492</v>
      </c>
      <c r="S231" s="9" t="b">
        <f aca="false">FALSE()</f>
        <v>0</v>
      </c>
      <c r="T231" s="6"/>
      <c r="U231" s="6"/>
      <c r="V231" s="6"/>
      <c r="W231" s="6"/>
    </row>
    <row r="232" customFormat="false" ht="15" hidden="false" customHeight="false" outlineLevel="0" collapsed="false">
      <c r="A232" s="6" t="s">
        <v>1661</v>
      </c>
      <c r="B232" s="6" t="s">
        <v>1662</v>
      </c>
      <c r="C232" s="6" t="s">
        <v>1663</v>
      </c>
      <c r="D232" s="6" t="s">
        <v>1664</v>
      </c>
      <c r="E232" s="6" t="s">
        <v>40</v>
      </c>
      <c r="F232" s="6"/>
      <c r="G232" s="6"/>
      <c r="H232" s="6" t="s">
        <v>1665</v>
      </c>
      <c r="I232" s="7" t="n">
        <v>3500</v>
      </c>
      <c r="J232" s="7" t="n">
        <v>5600</v>
      </c>
      <c r="K232" s="6" t="n">
        <v>0</v>
      </c>
      <c r="L232" s="6" t="n">
        <v>18</v>
      </c>
      <c r="M232" s="6" t="s">
        <v>1666</v>
      </c>
      <c r="N232" s="6" t="s">
        <v>1667</v>
      </c>
      <c r="O232" s="8" t="b">
        <f aca="false">TRUE()</f>
        <v>1</v>
      </c>
      <c r="P232" s="6" t="s">
        <v>1668</v>
      </c>
      <c r="Q232" s="6" t="s">
        <v>1567</v>
      </c>
      <c r="R232" s="6"/>
      <c r="S232" s="9" t="b">
        <f aca="false">FALSE()</f>
        <v>0</v>
      </c>
      <c r="T232" s="6"/>
      <c r="U232" s="6"/>
      <c r="V232" s="6"/>
      <c r="W232" s="6"/>
    </row>
    <row r="233" customFormat="false" ht="15" hidden="false" customHeight="false" outlineLevel="0" collapsed="false">
      <c r="A233" s="6" t="s">
        <v>1669</v>
      </c>
      <c r="B233" s="6" t="s">
        <v>1670</v>
      </c>
      <c r="C233" s="6" t="s">
        <v>1671</v>
      </c>
      <c r="D233" s="6" t="s">
        <v>39</v>
      </c>
      <c r="E233" s="6" t="s">
        <v>40</v>
      </c>
      <c r="F233" s="6"/>
      <c r="G233" s="6"/>
      <c r="H233" s="6" t="s">
        <v>1623</v>
      </c>
      <c r="I233" s="7" t="n">
        <v>3500</v>
      </c>
      <c r="J233" s="7" t="n">
        <v>9000</v>
      </c>
      <c r="K233" s="6" t="n">
        <v>0</v>
      </c>
      <c r="L233" s="6" t="n">
        <v>9</v>
      </c>
      <c r="M233" s="6" t="s">
        <v>1672</v>
      </c>
      <c r="N233" s="6" t="s">
        <v>1673</v>
      </c>
      <c r="O233" s="8" t="b">
        <f aca="false">TRUE()</f>
        <v>1</v>
      </c>
      <c r="P233" s="6" t="s">
        <v>1674</v>
      </c>
      <c r="Q233" s="6" t="s">
        <v>1567</v>
      </c>
      <c r="R233" s="6" t="s">
        <v>1492</v>
      </c>
      <c r="S233" s="9" t="b">
        <f aca="false">FALSE()</f>
        <v>0</v>
      </c>
      <c r="T233" s="6"/>
      <c r="U233" s="6"/>
      <c r="V233" s="6"/>
      <c r="W233" s="6"/>
    </row>
    <row r="234" customFormat="false" ht="15" hidden="false" customHeight="false" outlineLevel="0" collapsed="false">
      <c r="A234" s="6" t="s">
        <v>1675</v>
      </c>
      <c r="B234" s="6" t="s">
        <v>1676</v>
      </c>
      <c r="C234" s="6" t="s">
        <v>1677</v>
      </c>
      <c r="D234" s="6" t="s">
        <v>39</v>
      </c>
      <c r="E234" s="6" t="s">
        <v>40</v>
      </c>
      <c r="F234" s="6"/>
      <c r="G234" s="6"/>
      <c r="H234" s="6" t="s">
        <v>1623</v>
      </c>
      <c r="I234" s="7" t="n">
        <v>3500</v>
      </c>
      <c r="J234" s="7" t="n">
        <v>9000</v>
      </c>
      <c r="K234" s="6" t="n">
        <v>0</v>
      </c>
      <c r="L234" s="6" t="n">
        <v>9</v>
      </c>
      <c r="M234" s="6" t="s">
        <v>1672</v>
      </c>
      <c r="N234" s="6" t="s">
        <v>1678</v>
      </c>
      <c r="O234" s="8" t="b">
        <f aca="false">TRUE()</f>
        <v>1</v>
      </c>
      <c r="P234" s="6" t="s">
        <v>1679</v>
      </c>
      <c r="Q234" s="6" t="s">
        <v>1567</v>
      </c>
      <c r="R234" s="6" t="s">
        <v>1492</v>
      </c>
      <c r="S234" s="9" t="b">
        <f aca="false">FALSE()</f>
        <v>0</v>
      </c>
      <c r="T234" s="6"/>
      <c r="U234" s="6"/>
      <c r="V234" s="6"/>
      <c r="W234" s="6"/>
    </row>
    <row r="235" customFormat="false" ht="15" hidden="false" customHeight="false" outlineLevel="0" collapsed="false">
      <c r="A235" s="6" t="s">
        <v>1680</v>
      </c>
      <c r="B235" s="6" t="s">
        <v>1681</v>
      </c>
      <c r="C235" s="6" t="s">
        <v>1682</v>
      </c>
      <c r="D235" s="6" t="s">
        <v>39</v>
      </c>
      <c r="E235" s="6" t="s">
        <v>40</v>
      </c>
      <c r="F235" s="6"/>
      <c r="G235" s="6"/>
      <c r="H235" s="6" t="s">
        <v>1623</v>
      </c>
      <c r="I235" s="7" t="n">
        <v>3500</v>
      </c>
      <c r="J235" s="7" t="n">
        <v>9000</v>
      </c>
      <c r="K235" s="6" t="n">
        <v>0</v>
      </c>
      <c r="L235" s="6" t="n">
        <v>9</v>
      </c>
      <c r="M235" s="6" t="s">
        <v>1672</v>
      </c>
      <c r="N235" s="6" t="s">
        <v>1683</v>
      </c>
      <c r="O235" s="8" t="b">
        <f aca="false">TRUE()</f>
        <v>1</v>
      </c>
      <c r="P235" s="6" t="s">
        <v>1684</v>
      </c>
      <c r="Q235" s="6" t="s">
        <v>1567</v>
      </c>
      <c r="R235" s="6" t="s">
        <v>1492</v>
      </c>
      <c r="S235" s="9" t="b">
        <f aca="false">FALSE()</f>
        <v>0</v>
      </c>
      <c r="T235" s="6"/>
      <c r="U235" s="6"/>
      <c r="V235" s="6"/>
      <c r="W235" s="6"/>
    </row>
    <row r="236" customFormat="false" ht="15" hidden="false" customHeight="false" outlineLevel="0" collapsed="false">
      <c r="A236" s="6" t="s">
        <v>1685</v>
      </c>
      <c r="B236" s="6" t="s">
        <v>1686</v>
      </c>
      <c r="C236" s="6" t="s">
        <v>1687</v>
      </c>
      <c r="D236" s="6" t="s">
        <v>39</v>
      </c>
      <c r="E236" s="6" t="s">
        <v>40</v>
      </c>
      <c r="F236" s="6"/>
      <c r="G236" s="6"/>
      <c r="H236" s="6" t="s">
        <v>1623</v>
      </c>
      <c r="I236" s="7" t="n">
        <v>3500</v>
      </c>
      <c r="J236" s="7" t="n">
        <v>9000</v>
      </c>
      <c r="K236" s="6" t="n">
        <v>0</v>
      </c>
      <c r="L236" s="6" t="n">
        <v>9</v>
      </c>
      <c r="M236" s="6" t="s">
        <v>1672</v>
      </c>
      <c r="N236" s="6" t="s">
        <v>1688</v>
      </c>
      <c r="O236" s="8" t="b">
        <f aca="false">TRUE()</f>
        <v>1</v>
      </c>
      <c r="P236" s="6" t="s">
        <v>1689</v>
      </c>
      <c r="Q236" s="6" t="s">
        <v>1567</v>
      </c>
      <c r="R236" s="6" t="s">
        <v>1492</v>
      </c>
      <c r="S236" s="9" t="b">
        <f aca="false">FALSE()</f>
        <v>0</v>
      </c>
      <c r="T236" s="6"/>
      <c r="U236" s="6"/>
      <c r="V236" s="6"/>
      <c r="W236" s="6"/>
    </row>
    <row r="237" customFormat="false" ht="15" hidden="false" customHeight="false" outlineLevel="0" collapsed="false">
      <c r="A237" s="6" t="s">
        <v>1690</v>
      </c>
      <c r="B237" s="6" t="s">
        <v>1691</v>
      </c>
      <c r="C237" s="6" t="s">
        <v>1692</v>
      </c>
      <c r="D237" s="6" t="s">
        <v>39</v>
      </c>
      <c r="E237" s="6" t="s">
        <v>40</v>
      </c>
      <c r="F237" s="6"/>
      <c r="G237" s="6"/>
      <c r="H237" s="6" t="s">
        <v>1646</v>
      </c>
      <c r="I237" s="7" t="n">
        <v>3500</v>
      </c>
      <c r="J237" s="7" t="n">
        <v>9000</v>
      </c>
      <c r="K237" s="6" t="n">
        <v>0</v>
      </c>
      <c r="L237" s="6" t="n">
        <v>9</v>
      </c>
      <c r="M237" s="6" t="s">
        <v>1672</v>
      </c>
      <c r="N237" s="6" t="s">
        <v>1693</v>
      </c>
      <c r="O237" s="8" t="b">
        <f aca="false">TRUE()</f>
        <v>1</v>
      </c>
      <c r="P237" s="6" t="s">
        <v>1694</v>
      </c>
      <c r="Q237" s="6" t="s">
        <v>1567</v>
      </c>
      <c r="R237" s="6" t="s">
        <v>1492</v>
      </c>
      <c r="S237" s="9" t="b">
        <f aca="false">FALSE()</f>
        <v>0</v>
      </c>
      <c r="T237" s="6"/>
      <c r="U237" s="6"/>
      <c r="V237" s="6"/>
      <c r="W237" s="6"/>
    </row>
    <row r="238" customFormat="false" ht="15" hidden="false" customHeight="false" outlineLevel="0" collapsed="false">
      <c r="A238" s="6" t="s">
        <v>1695</v>
      </c>
      <c r="B238" s="6" t="s">
        <v>1696</v>
      </c>
      <c r="C238" s="6" t="s">
        <v>1697</v>
      </c>
      <c r="D238" s="6" t="s">
        <v>39</v>
      </c>
      <c r="E238" s="6" t="s">
        <v>40</v>
      </c>
      <c r="F238" s="6"/>
      <c r="G238" s="6"/>
      <c r="H238" s="6" t="s">
        <v>1652</v>
      </c>
      <c r="I238" s="7" t="n">
        <v>3500</v>
      </c>
      <c r="J238" s="7" t="n">
        <v>9000</v>
      </c>
      <c r="K238" s="6" t="n">
        <v>0</v>
      </c>
      <c r="L238" s="6" t="n">
        <v>9</v>
      </c>
      <c r="M238" s="6" t="s">
        <v>1672</v>
      </c>
      <c r="N238" s="6" t="s">
        <v>1698</v>
      </c>
      <c r="O238" s="8" t="b">
        <f aca="false">TRUE()</f>
        <v>1</v>
      </c>
      <c r="P238" s="6" t="s">
        <v>1699</v>
      </c>
      <c r="Q238" s="6" t="s">
        <v>1567</v>
      </c>
      <c r="R238" s="6" t="s">
        <v>1492</v>
      </c>
      <c r="S238" s="9" t="b">
        <f aca="false">FALSE()</f>
        <v>0</v>
      </c>
      <c r="T238" s="6"/>
      <c r="U238" s="6"/>
      <c r="V238" s="6"/>
      <c r="W238" s="6"/>
    </row>
    <row r="239" customFormat="false" ht="15" hidden="false" customHeight="false" outlineLevel="0" collapsed="false">
      <c r="A239" s="6" t="s">
        <v>1700</v>
      </c>
      <c r="B239" s="6" t="s">
        <v>1701</v>
      </c>
      <c r="C239" s="6" t="s">
        <v>1702</v>
      </c>
      <c r="D239" s="6" t="s">
        <v>1664</v>
      </c>
      <c r="E239" s="6" t="s">
        <v>40</v>
      </c>
      <c r="F239" s="6"/>
      <c r="G239" s="6"/>
      <c r="H239" s="6" t="s">
        <v>1665</v>
      </c>
      <c r="I239" s="7" t="n">
        <v>3500</v>
      </c>
      <c r="J239" s="7" t="n">
        <v>5600</v>
      </c>
      <c r="K239" s="6" t="n">
        <v>0</v>
      </c>
      <c r="L239" s="6" t="n">
        <v>18</v>
      </c>
      <c r="M239" s="6" t="s">
        <v>1666</v>
      </c>
      <c r="N239" s="6" t="s">
        <v>1703</v>
      </c>
      <c r="O239" s="8" t="b">
        <f aca="false">TRUE()</f>
        <v>1</v>
      </c>
      <c r="P239" s="6" t="s">
        <v>1704</v>
      </c>
      <c r="Q239" s="6" t="s">
        <v>1567</v>
      </c>
      <c r="R239" s="6"/>
      <c r="S239" s="9" t="b">
        <f aca="false">FALSE()</f>
        <v>0</v>
      </c>
      <c r="T239" s="6"/>
      <c r="U239" s="6"/>
      <c r="V239" s="6"/>
      <c r="W239" s="6"/>
    </row>
    <row r="240" customFormat="false" ht="15" hidden="false" customHeight="false" outlineLevel="0" collapsed="false">
      <c r="A240" s="6" t="s">
        <v>1705</v>
      </c>
      <c r="B240" s="6" t="s">
        <v>1706</v>
      </c>
      <c r="C240" s="6" t="s">
        <v>1707</v>
      </c>
      <c r="D240" s="6" t="s">
        <v>39</v>
      </c>
      <c r="E240" s="6" t="s">
        <v>40</v>
      </c>
      <c r="F240" s="6"/>
      <c r="G240" s="6"/>
      <c r="H240" s="6" t="s">
        <v>1623</v>
      </c>
      <c r="I240" s="7" t="n">
        <v>3500</v>
      </c>
      <c r="J240" s="7" t="n">
        <v>9000</v>
      </c>
      <c r="K240" s="6" t="n">
        <v>0</v>
      </c>
      <c r="L240" s="6" t="n">
        <v>9</v>
      </c>
      <c r="M240" s="6" t="s">
        <v>1672</v>
      </c>
      <c r="N240" s="6" t="s">
        <v>1708</v>
      </c>
      <c r="O240" s="8" t="b">
        <f aca="false">TRUE()</f>
        <v>1</v>
      </c>
      <c r="P240" s="6" t="s">
        <v>1709</v>
      </c>
      <c r="Q240" s="6" t="s">
        <v>1567</v>
      </c>
      <c r="R240" s="6" t="s">
        <v>1492</v>
      </c>
      <c r="S240" s="9" t="b">
        <f aca="false">FALSE()</f>
        <v>0</v>
      </c>
      <c r="T240" s="6"/>
      <c r="U240" s="6"/>
      <c r="V240" s="6"/>
      <c r="W240" s="6"/>
    </row>
    <row r="241" customFormat="false" ht="15" hidden="false" customHeight="false" outlineLevel="0" collapsed="false">
      <c r="A241" s="6" t="s">
        <v>1710</v>
      </c>
      <c r="B241" s="6" t="s">
        <v>1711</v>
      </c>
      <c r="C241" s="6" t="s">
        <v>1712</v>
      </c>
      <c r="D241" s="6" t="s">
        <v>39</v>
      </c>
      <c r="E241" s="6" t="s">
        <v>40</v>
      </c>
      <c r="F241" s="6"/>
      <c r="G241" s="6"/>
      <c r="H241" s="6" t="s">
        <v>1623</v>
      </c>
      <c r="I241" s="7" t="n">
        <v>3500</v>
      </c>
      <c r="J241" s="7" t="n">
        <v>9000</v>
      </c>
      <c r="K241" s="6" t="n">
        <v>0</v>
      </c>
      <c r="L241" s="6" t="n">
        <v>9</v>
      </c>
      <c r="M241" s="6" t="s">
        <v>1672</v>
      </c>
      <c r="N241" s="6" t="s">
        <v>1713</v>
      </c>
      <c r="O241" s="8" t="b">
        <f aca="false">TRUE()</f>
        <v>1</v>
      </c>
      <c r="P241" s="6" t="s">
        <v>1714</v>
      </c>
      <c r="Q241" s="6" t="s">
        <v>1567</v>
      </c>
      <c r="R241" s="6" t="s">
        <v>1492</v>
      </c>
      <c r="S241" s="9" t="b">
        <f aca="false">FALSE()</f>
        <v>0</v>
      </c>
      <c r="T241" s="6"/>
      <c r="U241" s="6"/>
      <c r="V241" s="6"/>
      <c r="W241" s="6"/>
    </row>
    <row r="242" customFormat="false" ht="15" hidden="false" customHeight="false" outlineLevel="0" collapsed="false">
      <c r="A242" s="6" t="s">
        <v>1715</v>
      </c>
      <c r="B242" s="6" t="s">
        <v>1716</v>
      </c>
      <c r="C242" s="6" t="s">
        <v>1717</v>
      </c>
      <c r="D242" s="6" t="s">
        <v>1664</v>
      </c>
      <c r="E242" s="6" t="s">
        <v>40</v>
      </c>
      <c r="F242" s="6"/>
      <c r="G242" s="6"/>
      <c r="H242" s="6" t="s">
        <v>1665</v>
      </c>
      <c r="I242" s="7" t="n">
        <v>3500</v>
      </c>
      <c r="J242" s="7" t="n">
        <v>5600</v>
      </c>
      <c r="K242" s="6" t="n">
        <v>0</v>
      </c>
      <c r="L242" s="6" t="n">
        <v>18</v>
      </c>
      <c r="M242" s="6" t="s">
        <v>1666</v>
      </c>
      <c r="N242" s="6" t="s">
        <v>1718</v>
      </c>
      <c r="O242" s="8" t="b">
        <f aca="false">TRUE()</f>
        <v>1</v>
      </c>
      <c r="P242" s="6" t="s">
        <v>1719</v>
      </c>
      <c r="Q242" s="6" t="s">
        <v>1567</v>
      </c>
      <c r="R242" s="6"/>
      <c r="S242" s="9" t="b">
        <f aca="false">FALSE()</f>
        <v>0</v>
      </c>
      <c r="T242" s="6"/>
      <c r="U242" s="6"/>
      <c r="V242" s="6"/>
      <c r="W242" s="6"/>
    </row>
    <row r="243" customFormat="false" ht="15" hidden="false" customHeight="false" outlineLevel="0" collapsed="false">
      <c r="A243" s="6" t="s">
        <v>1720</v>
      </c>
      <c r="B243" s="6" t="s">
        <v>1721</v>
      </c>
      <c r="C243" s="6" t="s">
        <v>1722</v>
      </c>
      <c r="D243" s="6" t="s">
        <v>39</v>
      </c>
      <c r="E243" s="6" t="s">
        <v>40</v>
      </c>
      <c r="F243" s="6"/>
      <c r="G243" s="6"/>
      <c r="H243" s="6" t="s">
        <v>1623</v>
      </c>
      <c r="I243" s="7" t="n">
        <v>3500</v>
      </c>
      <c r="J243" s="7" t="n">
        <v>9000</v>
      </c>
      <c r="K243" s="6" t="n">
        <v>0</v>
      </c>
      <c r="L243" s="6" t="n">
        <v>9</v>
      </c>
      <c r="M243" s="6" t="s">
        <v>1723</v>
      </c>
      <c r="N243" s="6" t="s">
        <v>1724</v>
      </c>
      <c r="O243" s="8" t="b">
        <f aca="false">TRUE()</f>
        <v>1</v>
      </c>
      <c r="P243" s="6" t="s">
        <v>1725</v>
      </c>
      <c r="Q243" s="6" t="s">
        <v>1567</v>
      </c>
      <c r="R243" s="6" t="s">
        <v>1492</v>
      </c>
      <c r="S243" s="9" t="b">
        <f aca="false">FALSE()</f>
        <v>0</v>
      </c>
      <c r="T243" s="6"/>
      <c r="U243" s="6"/>
      <c r="V243" s="6"/>
      <c r="W243" s="6"/>
    </row>
    <row r="244" customFormat="false" ht="15" hidden="false" customHeight="false" outlineLevel="0" collapsed="false">
      <c r="A244" s="6" t="s">
        <v>1726</v>
      </c>
      <c r="B244" s="6" t="s">
        <v>1727</v>
      </c>
      <c r="C244" s="6" t="s">
        <v>1728</v>
      </c>
      <c r="D244" s="6" t="s">
        <v>39</v>
      </c>
      <c r="E244" s="6" t="s">
        <v>40</v>
      </c>
      <c r="F244" s="6"/>
      <c r="G244" s="6"/>
      <c r="H244" s="6" t="s">
        <v>1646</v>
      </c>
      <c r="I244" s="7" t="n">
        <v>3500</v>
      </c>
      <c r="J244" s="7" t="n">
        <v>9000</v>
      </c>
      <c r="K244" s="6" t="n">
        <v>0</v>
      </c>
      <c r="L244" s="6" t="n">
        <v>9</v>
      </c>
      <c r="M244" s="6" t="s">
        <v>1723</v>
      </c>
      <c r="N244" s="6" t="s">
        <v>1729</v>
      </c>
      <c r="O244" s="8" t="b">
        <f aca="false">TRUE()</f>
        <v>1</v>
      </c>
      <c r="P244" s="6" t="s">
        <v>1730</v>
      </c>
      <c r="Q244" s="6" t="s">
        <v>1567</v>
      </c>
      <c r="R244" s="6" t="s">
        <v>1492</v>
      </c>
      <c r="S244" s="9" t="b">
        <f aca="false">FALSE()</f>
        <v>0</v>
      </c>
      <c r="T244" s="6"/>
      <c r="U244" s="6"/>
      <c r="V244" s="6"/>
      <c r="W244" s="6"/>
    </row>
    <row r="245" customFormat="false" ht="15" hidden="false" customHeight="false" outlineLevel="0" collapsed="false">
      <c r="A245" s="6" t="s">
        <v>1731</v>
      </c>
      <c r="B245" s="6" t="s">
        <v>1732</v>
      </c>
      <c r="C245" s="6" t="s">
        <v>1733</v>
      </c>
      <c r="D245" s="6" t="s">
        <v>39</v>
      </c>
      <c r="E245" s="6" t="s">
        <v>40</v>
      </c>
      <c r="F245" s="6"/>
      <c r="G245" s="6"/>
      <c r="H245" s="6" t="s">
        <v>1623</v>
      </c>
      <c r="I245" s="7" t="n">
        <v>3500</v>
      </c>
      <c r="J245" s="7" t="n">
        <v>9000</v>
      </c>
      <c r="K245" s="6" t="n">
        <v>0</v>
      </c>
      <c r="L245" s="6" t="n">
        <v>9</v>
      </c>
      <c r="M245" s="6" t="s">
        <v>1723</v>
      </c>
      <c r="N245" s="6" t="s">
        <v>1734</v>
      </c>
      <c r="O245" s="8" t="b">
        <f aca="false">TRUE()</f>
        <v>1</v>
      </c>
      <c r="P245" s="6" t="s">
        <v>1735</v>
      </c>
      <c r="Q245" s="6" t="s">
        <v>1567</v>
      </c>
      <c r="R245" s="6" t="s">
        <v>1492</v>
      </c>
      <c r="S245" s="9" t="b">
        <f aca="false">FALSE()</f>
        <v>0</v>
      </c>
      <c r="T245" s="6"/>
      <c r="U245" s="6"/>
      <c r="V245" s="6"/>
      <c r="W245" s="6"/>
    </row>
    <row r="246" customFormat="false" ht="15" hidden="false" customHeight="false" outlineLevel="0" collapsed="false">
      <c r="A246" s="6" t="s">
        <v>1736</v>
      </c>
      <c r="B246" s="6" t="s">
        <v>1737</v>
      </c>
      <c r="C246" s="6" t="s">
        <v>1738</v>
      </c>
      <c r="D246" s="6" t="s">
        <v>39</v>
      </c>
      <c r="E246" s="6" t="s">
        <v>40</v>
      </c>
      <c r="F246" s="6"/>
      <c r="G246" s="6"/>
      <c r="H246" s="6" t="s">
        <v>1646</v>
      </c>
      <c r="I246" s="7" t="n">
        <v>3500</v>
      </c>
      <c r="J246" s="7" t="n">
        <v>9000</v>
      </c>
      <c r="K246" s="6" t="n">
        <v>0</v>
      </c>
      <c r="L246" s="6" t="n">
        <v>9</v>
      </c>
      <c r="M246" s="6" t="s">
        <v>1739</v>
      </c>
      <c r="N246" s="6" t="s">
        <v>1740</v>
      </c>
      <c r="O246" s="8" t="b">
        <f aca="false">TRUE()</f>
        <v>1</v>
      </c>
      <c r="P246" s="6" t="s">
        <v>1741</v>
      </c>
      <c r="Q246" s="6" t="s">
        <v>1567</v>
      </c>
      <c r="R246" s="6" t="s">
        <v>1492</v>
      </c>
      <c r="S246" s="9" t="b">
        <f aca="false">FALSE()</f>
        <v>0</v>
      </c>
      <c r="T246" s="6"/>
      <c r="U246" s="6"/>
      <c r="V246" s="6"/>
      <c r="W246" s="6"/>
    </row>
    <row r="247" customFormat="false" ht="15" hidden="false" customHeight="false" outlineLevel="0" collapsed="false">
      <c r="A247" s="6" t="s">
        <v>1742</v>
      </c>
      <c r="B247" s="6" t="s">
        <v>1743</v>
      </c>
      <c r="C247" s="6" t="s">
        <v>1744</v>
      </c>
      <c r="D247" s="6" t="s">
        <v>39</v>
      </c>
      <c r="E247" s="6" t="s">
        <v>40</v>
      </c>
      <c r="F247" s="6"/>
      <c r="G247" s="6"/>
      <c r="H247" s="6" t="s">
        <v>1646</v>
      </c>
      <c r="I247" s="7" t="n">
        <v>3500</v>
      </c>
      <c r="J247" s="7" t="n">
        <v>9000</v>
      </c>
      <c r="K247" s="6" t="n">
        <v>0</v>
      </c>
      <c r="L247" s="6" t="n">
        <v>9</v>
      </c>
      <c r="M247" s="6" t="s">
        <v>1745</v>
      </c>
      <c r="N247" s="6" t="s">
        <v>1746</v>
      </c>
      <c r="O247" s="8" t="b">
        <f aca="false">TRUE()</f>
        <v>1</v>
      </c>
      <c r="P247" s="6" t="s">
        <v>1747</v>
      </c>
      <c r="Q247" s="6" t="s">
        <v>1567</v>
      </c>
      <c r="R247" s="6" t="s">
        <v>1492</v>
      </c>
      <c r="S247" s="9" t="b">
        <f aca="false">FALSE()</f>
        <v>0</v>
      </c>
      <c r="T247" s="6"/>
      <c r="U247" s="6"/>
      <c r="V247" s="6"/>
      <c r="W247" s="6"/>
    </row>
    <row r="248" customFormat="false" ht="15" hidden="false" customHeight="false" outlineLevel="0" collapsed="false">
      <c r="A248" s="6" t="s">
        <v>1748</v>
      </c>
      <c r="B248" s="6" t="s">
        <v>1749</v>
      </c>
      <c r="C248" s="6" t="s">
        <v>1750</v>
      </c>
      <c r="D248" s="6" t="s">
        <v>39</v>
      </c>
      <c r="E248" s="6" t="s">
        <v>40</v>
      </c>
      <c r="F248" s="6"/>
      <c r="G248" s="6"/>
      <c r="H248" s="6" t="s">
        <v>1623</v>
      </c>
      <c r="I248" s="7" t="n">
        <v>3500</v>
      </c>
      <c r="J248" s="7" t="n">
        <v>9000</v>
      </c>
      <c r="K248" s="6" t="n">
        <v>0</v>
      </c>
      <c r="L248" s="6" t="n">
        <v>9</v>
      </c>
      <c r="M248" s="6" t="s">
        <v>1723</v>
      </c>
      <c r="N248" s="6" t="s">
        <v>1751</v>
      </c>
      <c r="O248" s="8" t="b">
        <f aca="false">TRUE()</f>
        <v>1</v>
      </c>
      <c r="P248" s="6" t="s">
        <v>1752</v>
      </c>
      <c r="Q248" s="6" t="s">
        <v>1567</v>
      </c>
      <c r="R248" s="6" t="s">
        <v>1492</v>
      </c>
      <c r="S248" s="9" t="b">
        <f aca="false">FALSE()</f>
        <v>0</v>
      </c>
      <c r="T248" s="6"/>
      <c r="U248" s="6"/>
      <c r="V248" s="6"/>
      <c r="W248" s="6"/>
    </row>
    <row r="249" customFormat="false" ht="15" hidden="false" customHeight="false" outlineLevel="0" collapsed="false">
      <c r="A249" s="6" t="s">
        <v>1753</v>
      </c>
      <c r="B249" s="6" t="s">
        <v>1754</v>
      </c>
      <c r="C249" s="6" t="s">
        <v>1755</v>
      </c>
      <c r="D249" s="6" t="s">
        <v>39</v>
      </c>
      <c r="E249" s="6" t="s">
        <v>40</v>
      </c>
      <c r="F249" s="6"/>
      <c r="G249" s="6"/>
      <c r="H249" s="6" t="s">
        <v>1756</v>
      </c>
      <c r="I249" s="7" t="n">
        <v>5000</v>
      </c>
      <c r="J249" s="7" t="n">
        <v>12000</v>
      </c>
      <c r="K249" s="6" t="n">
        <v>0</v>
      </c>
      <c r="L249" s="6" t="n">
        <v>4</v>
      </c>
      <c r="M249" s="6" t="s">
        <v>1757</v>
      </c>
      <c r="N249" s="6" t="s">
        <v>1758</v>
      </c>
      <c r="O249" s="8" t="b">
        <f aca="false">TRUE()</f>
        <v>1</v>
      </c>
      <c r="P249" s="6" t="s">
        <v>1759</v>
      </c>
      <c r="Q249" s="6" t="s">
        <v>1760</v>
      </c>
      <c r="R249" s="6" t="s">
        <v>1492</v>
      </c>
      <c r="S249" s="9" t="b">
        <f aca="false">FALSE()</f>
        <v>0</v>
      </c>
      <c r="T249" s="6"/>
      <c r="U249" s="6"/>
      <c r="V249" s="6"/>
      <c r="W249" s="6"/>
    </row>
    <row r="250" customFormat="false" ht="15" hidden="false" customHeight="false" outlineLevel="0" collapsed="false">
      <c r="A250" s="6" t="s">
        <v>1761</v>
      </c>
      <c r="B250" s="6" t="s">
        <v>1762</v>
      </c>
      <c r="C250" s="6" t="s">
        <v>1763</v>
      </c>
      <c r="D250" s="6" t="s">
        <v>39</v>
      </c>
      <c r="E250" s="6" t="s">
        <v>40</v>
      </c>
      <c r="F250" s="6"/>
      <c r="G250" s="6"/>
      <c r="H250" s="6" t="s">
        <v>1517</v>
      </c>
      <c r="I250" s="7" t="n">
        <v>4000</v>
      </c>
      <c r="J250" s="7" t="n">
        <v>5800</v>
      </c>
      <c r="K250" s="6" t="n">
        <v>0</v>
      </c>
      <c r="L250" s="6" t="n">
        <v>3</v>
      </c>
      <c r="M250" s="6" t="s">
        <v>1523</v>
      </c>
      <c r="N250" s="6" t="s">
        <v>1764</v>
      </c>
      <c r="O250" s="8" t="b">
        <f aca="false">TRUE()</f>
        <v>1</v>
      </c>
      <c r="P250" s="6" t="s">
        <v>1765</v>
      </c>
      <c r="Q250" s="6" t="s">
        <v>1766</v>
      </c>
      <c r="R250" s="6" t="s">
        <v>1492</v>
      </c>
      <c r="S250" s="9" t="b">
        <f aca="false">FALSE()</f>
        <v>0</v>
      </c>
      <c r="T250" s="6"/>
      <c r="U250" s="6"/>
      <c r="V250" s="6"/>
      <c r="W250" s="6"/>
    </row>
    <row r="251" customFormat="false" ht="15" hidden="false" customHeight="false" outlineLevel="0" collapsed="false">
      <c r="A251" s="6" t="s">
        <v>1767</v>
      </c>
      <c r="B251" s="6" t="s">
        <v>1768</v>
      </c>
      <c r="C251" s="6" t="s">
        <v>1769</v>
      </c>
      <c r="D251" s="6" t="s">
        <v>39</v>
      </c>
      <c r="E251" s="6" t="s">
        <v>40</v>
      </c>
      <c r="F251" s="6"/>
      <c r="G251" s="6"/>
      <c r="H251" s="6" t="s">
        <v>1517</v>
      </c>
      <c r="I251" s="7" t="n">
        <v>3500</v>
      </c>
      <c r="J251" s="7" t="n">
        <v>5200</v>
      </c>
      <c r="K251" s="6" t="n">
        <v>0</v>
      </c>
      <c r="L251" s="6" t="n">
        <v>2</v>
      </c>
      <c r="M251" s="6" t="s">
        <v>1770</v>
      </c>
      <c r="N251" s="6" t="s">
        <v>1771</v>
      </c>
      <c r="O251" s="8" t="b">
        <f aca="false">TRUE()</f>
        <v>1</v>
      </c>
      <c r="P251" s="6" t="s">
        <v>1772</v>
      </c>
      <c r="Q251" s="6" t="s">
        <v>1766</v>
      </c>
      <c r="R251" s="6" t="s">
        <v>1492</v>
      </c>
      <c r="S251" s="9" t="b">
        <f aca="false">FALSE()</f>
        <v>0</v>
      </c>
      <c r="T251" s="6"/>
      <c r="U251" s="6"/>
      <c r="V251" s="6"/>
      <c r="W251" s="6"/>
    </row>
    <row r="252" customFormat="false" ht="15" hidden="false" customHeight="false" outlineLevel="0" collapsed="false">
      <c r="A252" s="6" t="s">
        <v>1773</v>
      </c>
      <c r="B252" s="6" t="s">
        <v>1774</v>
      </c>
      <c r="C252" s="6" t="s">
        <v>1775</v>
      </c>
      <c r="D252" s="6" t="s">
        <v>39</v>
      </c>
      <c r="E252" s="6" t="s">
        <v>40</v>
      </c>
      <c r="F252" s="6"/>
      <c r="G252" s="6"/>
      <c r="H252" s="6" t="s">
        <v>1487</v>
      </c>
      <c r="I252" s="7" t="n">
        <v>2299</v>
      </c>
      <c r="J252" s="7" t="n">
        <v>2799</v>
      </c>
      <c r="K252" s="6" t="n">
        <v>0</v>
      </c>
      <c r="L252" s="6" t="n">
        <v>2</v>
      </c>
      <c r="M252" s="6" t="s">
        <v>1776</v>
      </c>
      <c r="N252" s="6" t="s">
        <v>1777</v>
      </c>
      <c r="O252" s="8" t="b">
        <f aca="false">TRUE()</f>
        <v>1</v>
      </c>
      <c r="P252" s="6" t="s">
        <v>1778</v>
      </c>
      <c r="Q252" s="6" t="s">
        <v>1766</v>
      </c>
      <c r="R252" s="6" t="s">
        <v>1492</v>
      </c>
      <c r="S252" s="9" t="b">
        <f aca="false">FALSE()</f>
        <v>0</v>
      </c>
      <c r="T252" s="6"/>
      <c r="U252" s="6"/>
      <c r="V252" s="6"/>
      <c r="W252" s="6"/>
    </row>
    <row r="253" customFormat="false" ht="15" hidden="false" customHeight="false" outlineLevel="0" collapsed="false">
      <c r="A253" s="6" t="s">
        <v>1779</v>
      </c>
      <c r="B253" s="6" t="s">
        <v>1780</v>
      </c>
      <c r="C253" s="6" t="s">
        <v>1781</v>
      </c>
      <c r="D253" s="6" t="s">
        <v>39</v>
      </c>
      <c r="E253" s="6" t="s">
        <v>40</v>
      </c>
      <c r="F253" s="6"/>
      <c r="G253" s="6"/>
      <c r="H253" s="6" t="s">
        <v>1782</v>
      </c>
      <c r="I253" s="7" t="n">
        <v>4000</v>
      </c>
      <c r="J253" s="7" t="n">
        <v>5800</v>
      </c>
      <c r="K253" s="6" t="n">
        <v>0</v>
      </c>
      <c r="L253" s="6" t="n">
        <v>3</v>
      </c>
      <c r="M253" s="6" t="s">
        <v>1523</v>
      </c>
      <c r="N253" s="6" t="s">
        <v>1783</v>
      </c>
      <c r="O253" s="8" t="b">
        <f aca="false">TRUE()</f>
        <v>1</v>
      </c>
      <c r="P253" s="6" t="s">
        <v>1784</v>
      </c>
      <c r="Q253" s="6" t="s">
        <v>1766</v>
      </c>
      <c r="R253" s="6" t="s">
        <v>1492</v>
      </c>
      <c r="S253" s="9" t="b">
        <f aca="false">FALSE()</f>
        <v>0</v>
      </c>
      <c r="T253" s="6"/>
      <c r="U253" s="6"/>
      <c r="V253" s="6"/>
      <c r="W253" s="6"/>
    </row>
    <row r="254" customFormat="false" ht="15" hidden="false" customHeight="false" outlineLevel="0" collapsed="false">
      <c r="A254" s="6" t="s">
        <v>1223</v>
      </c>
      <c r="B254" s="6" t="s">
        <v>1785</v>
      </c>
      <c r="C254" s="6" t="s">
        <v>1786</v>
      </c>
      <c r="D254" s="6" t="s">
        <v>39</v>
      </c>
      <c r="E254" s="6" t="s">
        <v>40</v>
      </c>
      <c r="F254" s="6"/>
      <c r="G254" s="6" t="s">
        <v>41</v>
      </c>
      <c r="H254" s="6" t="s">
        <v>1787</v>
      </c>
      <c r="I254" s="7" t="n">
        <v>3500</v>
      </c>
      <c r="J254" s="7" t="n">
        <v>5600</v>
      </c>
      <c r="K254" s="6" t="n">
        <v>0</v>
      </c>
      <c r="L254" s="6" t="n">
        <v>4</v>
      </c>
      <c r="M254" s="6" t="s">
        <v>51</v>
      </c>
      <c r="N254" s="6" t="s">
        <v>1788</v>
      </c>
      <c r="O254" s="8" t="b">
        <f aca="false">TRUE()</f>
        <v>1</v>
      </c>
      <c r="P254" s="6" t="s">
        <v>1789</v>
      </c>
      <c r="Q254" s="6" t="s">
        <v>1766</v>
      </c>
      <c r="R254" s="6" t="s">
        <v>1766</v>
      </c>
      <c r="S254" s="9" t="b">
        <f aca="false">FALSE()</f>
        <v>0</v>
      </c>
      <c r="T254" s="6"/>
      <c r="U254" s="6"/>
      <c r="V254" s="6"/>
      <c r="W254" s="6"/>
    </row>
    <row r="255" customFormat="false" ht="15" hidden="false" customHeight="false" outlineLevel="0" collapsed="false">
      <c r="A255" s="6" t="s">
        <v>1790</v>
      </c>
      <c r="B255" s="6" t="s">
        <v>1791</v>
      </c>
      <c r="C255" s="6" t="s">
        <v>1792</v>
      </c>
      <c r="D255" s="6" t="s">
        <v>39</v>
      </c>
      <c r="E255" s="6" t="s">
        <v>40</v>
      </c>
      <c r="F255" s="6"/>
      <c r="G255" s="6" t="s">
        <v>41</v>
      </c>
      <c r="H255" s="6" t="s">
        <v>42</v>
      </c>
      <c r="I255" s="7" t="n">
        <v>3500</v>
      </c>
      <c r="J255" s="7" t="n">
        <v>5600</v>
      </c>
      <c r="K255" s="6" t="n">
        <v>0</v>
      </c>
      <c r="L255" s="6" t="n">
        <v>4</v>
      </c>
      <c r="M255" s="6" t="s">
        <v>1409</v>
      </c>
      <c r="N255" s="6" t="s">
        <v>1793</v>
      </c>
      <c r="O255" s="8" t="b">
        <f aca="false">TRUE()</f>
        <v>1</v>
      </c>
      <c r="P255" s="6" t="s">
        <v>1794</v>
      </c>
      <c r="Q255" s="6" t="s">
        <v>1766</v>
      </c>
      <c r="R255" s="6" t="s">
        <v>1766</v>
      </c>
      <c r="S255" s="9" t="b">
        <f aca="false">FALSE()</f>
        <v>0</v>
      </c>
      <c r="T255" s="6"/>
      <c r="U255" s="6"/>
      <c r="V255" s="6"/>
      <c r="W255" s="6"/>
    </row>
    <row r="256" customFormat="false" ht="15" hidden="false" customHeight="false" outlineLevel="0" collapsed="false">
      <c r="A256" s="6" t="s">
        <v>1795</v>
      </c>
      <c r="B256" s="6" t="s">
        <v>1796</v>
      </c>
      <c r="C256" s="6" t="s">
        <v>1797</v>
      </c>
      <c r="D256" s="6" t="s">
        <v>39</v>
      </c>
      <c r="E256" s="6" t="s">
        <v>40</v>
      </c>
      <c r="F256" s="6"/>
      <c r="G256" s="6" t="s">
        <v>41</v>
      </c>
      <c r="H256" s="6" t="s">
        <v>1277</v>
      </c>
      <c r="I256" s="7" t="n">
        <v>3500</v>
      </c>
      <c r="J256" s="7" t="n">
        <v>5600</v>
      </c>
      <c r="K256" s="6" t="n">
        <v>0</v>
      </c>
      <c r="L256" s="6" t="n">
        <v>4</v>
      </c>
      <c r="M256" s="6" t="s">
        <v>51</v>
      </c>
      <c r="N256" s="6" t="s">
        <v>1798</v>
      </c>
      <c r="O256" s="8" t="b">
        <f aca="false">TRUE()</f>
        <v>1</v>
      </c>
      <c r="P256" s="6" t="s">
        <v>1799</v>
      </c>
      <c r="Q256" s="6" t="s">
        <v>1766</v>
      </c>
      <c r="R256" s="6" t="s">
        <v>1766</v>
      </c>
      <c r="S256" s="9" t="b">
        <f aca="false">FALSE()</f>
        <v>0</v>
      </c>
      <c r="T256" s="6"/>
      <c r="U256" s="6"/>
      <c r="V256" s="6"/>
      <c r="W256" s="6"/>
    </row>
    <row r="257" customFormat="false" ht="15" hidden="false" customHeight="false" outlineLevel="0" collapsed="false">
      <c r="A257" s="6" t="s">
        <v>1800</v>
      </c>
      <c r="B257" s="6" t="s">
        <v>1801</v>
      </c>
      <c r="C257" s="6" t="s">
        <v>1802</v>
      </c>
      <c r="D257" s="6" t="s">
        <v>39</v>
      </c>
      <c r="E257" s="6" t="s">
        <v>40</v>
      </c>
      <c r="F257" s="6"/>
      <c r="G257" s="6" t="s">
        <v>41</v>
      </c>
      <c r="H257" s="6" t="s">
        <v>1803</v>
      </c>
      <c r="I257" s="7" t="n">
        <v>3500</v>
      </c>
      <c r="J257" s="7" t="n">
        <v>5600</v>
      </c>
      <c r="K257" s="6" t="n">
        <v>0</v>
      </c>
      <c r="L257" s="6" t="n">
        <v>4</v>
      </c>
      <c r="M257" s="6" t="s">
        <v>51</v>
      </c>
      <c r="N257" s="6" t="s">
        <v>1804</v>
      </c>
      <c r="O257" s="8" t="b">
        <f aca="false">TRUE()</f>
        <v>1</v>
      </c>
      <c r="P257" s="6" t="s">
        <v>1805</v>
      </c>
      <c r="Q257" s="6" t="s">
        <v>1766</v>
      </c>
      <c r="R257" s="6" t="s">
        <v>1766</v>
      </c>
      <c r="S257" s="9" t="b">
        <f aca="false">FALSE()</f>
        <v>0</v>
      </c>
      <c r="T257" s="6"/>
      <c r="U257" s="6"/>
      <c r="V257" s="6"/>
      <c r="W257" s="6"/>
    </row>
    <row r="258" customFormat="false" ht="15" hidden="false" customHeight="false" outlineLevel="0" collapsed="false">
      <c r="A258" s="6" t="s">
        <v>1806</v>
      </c>
      <c r="B258" s="6" t="s">
        <v>1807</v>
      </c>
      <c r="C258" s="6" t="s">
        <v>1808</v>
      </c>
      <c r="D258" s="6" t="s">
        <v>39</v>
      </c>
      <c r="E258" s="6" t="s">
        <v>40</v>
      </c>
      <c r="F258" s="6"/>
      <c r="G258" s="6" t="s">
        <v>41</v>
      </c>
      <c r="H258" s="6" t="s">
        <v>1809</v>
      </c>
      <c r="I258" s="7" t="n">
        <v>3500</v>
      </c>
      <c r="J258" s="7" t="n">
        <v>5600</v>
      </c>
      <c r="K258" s="6" t="n">
        <v>0</v>
      </c>
      <c r="L258" s="6" t="n">
        <v>4</v>
      </c>
      <c r="M258" s="6" t="s">
        <v>1409</v>
      </c>
      <c r="N258" s="6" t="s">
        <v>1810</v>
      </c>
      <c r="O258" s="8" t="b">
        <f aca="false">TRUE()</f>
        <v>1</v>
      </c>
      <c r="P258" s="6" t="s">
        <v>1811</v>
      </c>
      <c r="Q258" s="6" t="s">
        <v>1766</v>
      </c>
      <c r="R258" s="6" t="s">
        <v>1766</v>
      </c>
      <c r="S258" s="9" t="b">
        <f aca="false">FALSE()</f>
        <v>0</v>
      </c>
      <c r="T258" s="6"/>
      <c r="U258" s="6"/>
      <c r="V258" s="6"/>
      <c r="W258" s="6"/>
    </row>
    <row r="259" customFormat="false" ht="15" hidden="false" customHeight="false" outlineLevel="0" collapsed="false">
      <c r="A259" s="6" t="s">
        <v>1812</v>
      </c>
      <c r="B259" s="6" t="s">
        <v>1813</v>
      </c>
      <c r="C259" s="6" t="s">
        <v>1814</v>
      </c>
      <c r="D259" s="6" t="s">
        <v>39</v>
      </c>
      <c r="E259" s="6" t="s">
        <v>40</v>
      </c>
      <c r="F259" s="6"/>
      <c r="G259" s="6" t="s">
        <v>41</v>
      </c>
      <c r="H259" s="6" t="s">
        <v>42</v>
      </c>
      <c r="I259" s="7" t="n">
        <v>3500</v>
      </c>
      <c r="J259" s="7" t="n">
        <v>5600</v>
      </c>
      <c r="K259" s="6" t="n">
        <v>0</v>
      </c>
      <c r="L259" s="6" t="n">
        <v>4</v>
      </c>
      <c r="M259" s="6" t="s">
        <v>1409</v>
      </c>
      <c r="N259" s="6" t="s">
        <v>1815</v>
      </c>
      <c r="O259" s="8" t="b">
        <f aca="false">TRUE()</f>
        <v>1</v>
      </c>
      <c r="P259" s="6" t="s">
        <v>1816</v>
      </c>
      <c r="Q259" s="6" t="s">
        <v>1766</v>
      </c>
      <c r="R259" s="6" t="s">
        <v>1766</v>
      </c>
      <c r="S259" s="9" t="b">
        <f aca="false">FALSE()</f>
        <v>0</v>
      </c>
      <c r="T259" s="6"/>
      <c r="U259" s="6"/>
      <c r="V259" s="6"/>
      <c r="W259" s="6"/>
    </row>
    <row r="260" customFormat="false" ht="15" hidden="false" customHeight="false" outlineLevel="0" collapsed="false">
      <c r="A260" s="6" t="s">
        <v>127</v>
      </c>
      <c r="B260" s="6" t="s">
        <v>1817</v>
      </c>
      <c r="C260" s="6" t="s">
        <v>1818</v>
      </c>
      <c r="D260" s="6" t="s">
        <v>39</v>
      </c>
      <c r="E260" s="6" t="s">
        <v>40</v>
      </c>
      <c r="F260" s="6"/>
      <c r="G260" s="6" t="s">
        <v>41</v>
      </c>
      <c r="H260" s="6" t="s">
        <v>1809</v>
      </c>
      <c r="I260" s="7" t="n">
        <v>3500</v>
      </c>
      <c r="J260" s="7" t="n">
        <v>5600</v>
      </c>
      <c r="K260" s="6" t="n">
        <v>0</v>
      </c>
      <c r="L260" s="6" t="n">
        <v>4</v>
      </c>
      <c r="M260" s="6" t="s">
        <v>1409</v>
      </c>
      <c r="N260" s="6" t="s">
        <v>1819</v>
      </c>
      <c r="O260" s="8" t="b">
        <f aca="false">TRUE()</f>
        <v>1</v>
      </c>
      <c r="P260" s="6" t="s">
        <v>1820</v>
      </c>
      <c r="Q260" s="6" t="s">
        <v>1766</v>
      </c>
      <c r="R260" s="6" t="s">
        <v>1766</v>
      </c>
      <c r="S260" s="9" t="b">
        <f aca="false">FALSE()</f>
        <v>0</v>
      </c>
      <c r="T260" s="6"/>
      <c r="U260" s="6"/>
      <c r="V260" s="6"/>
      <c r="W260" s="6"/>
    </row>
    <row r="261" customFormat="false" ht="15" hidden="false" customHeight="false" outlineLevel="0" collapsed="false">
      <c r="A261" s="6" t="s">
        <v>1821</v>
      </c>
      <c r="B261" s="6" t="s">
        <v>1822</v>
      </c>
      <c r="C261" s="6" t="s">
        <v>1823</v>
      </c>
      <c r="D261" s="6" t="s">
        <v>39</v>
      </c>
      <c r="E261" s="6" t="s">
        <v>40</v>
      </c>
      <c r="F261" s="6"/>
      <c r="G261" s="6" t="s">
        <v>41</v>
      </c>
      <c r="H261" s="6" t="s">
        <v>1824</v>
      </c>
      <c r="I261" s="7" t="n">
        <v>3500</v>
      </c>
      <c r="J261" s="7" t="n">
        <v>5600</v>
      </c>
      <c r="K261" s="6" t="n">
        <v>0</v>
      </c>
      <c r="L261" s="6" t="n">
        <v>4</v>
      </c>
      <c r="M261" s="6" t="s">
        <v>51</v>
      </c>
      <c r="N261" s="6" t="s">
        <v>1825</v>
      </c>
      <c r="O261" s="8" t="b">
        <f aca="false">TRUE()</f>
        <v>1</v>
      </c>
      <c r="P261" s="6" t="s">
        <v>1826</v>
      </c>
      <c r="Q261" s="6" t="s">
        <v>1827</v>
      </c>
      <c r="R261" s="6" t="s">
        <v>1827</v>
      </c>
      <c r="S261" s="9" t="b">
        <f aca="false">FALSE()</f>
        <v>0</v>
      </c>
      <c r="T261" s="6"/>
      <c r="U261" s="6"/>
      <c r="V261" s="6"/>
      <c r="W261" s="6"/>
    </row>
    <row r="262" customFormat="false" ht="15" hidden="false" customHeight="false" outlineLevel="0" collapsed="false">
      <c r="A262" s="6" t="s">
        <v>1828</v>
      </c>
      <c r="B262" s="6" t="s">
        <v>1829</v>
      </c>
      <c r="C262" s="6" t="s">
        <v>1830</v>
      </c>
      <c r="D262" s="6" t="s">
        <v>39</v>
      </c>
      <c r="E262" s="6" t="s">
        <v>40</v>
      </c>
      <c r="F262" s="6"/>
      <c r="G262" s="6" t="s">
        <v>41</v>
      </c>
      <c r="H262" s="6" t="s">
        <v>1831</v>
      </c>
      <c r="I262" s="7" t="n">
        <v>3500</v>
      </c>
      <c r="J262" s="7" t="n">
        <v>5600</v>
      </c>
      <c r="K262" s="6" t="n">
        <v>0</v>
      </c>
      <c r="L262" s="6" t="n">
        <v>4</v>
      </c>
      <c r="M262" s="6" t="s">
        <v>51</v>
      </c>
      <c r="N262" s="6" t="s">
        <v>1832</v>
      </c>
      <c r="O262" s="8" t="b">
        <f aca="false">TRUE()</f>
        <v>1</v>
      </c>
      <c r="P262" s="6" t="s">
        <v>1833</v>
      </c>
      <c r="Q262" s="6" t="s">
        <v>1827</v>
      </c>
      <c r="R262" s="6" t="s">
        <v>1827</v>
      </c>
      <c r="S262" s="9" t="b">
        <f aca="false">FALSE()</f>
        <v>0</v>
      </c>
      <c r="T262" s="6"/>
      <c r="U262" s="6"/>
      <c r="V262" s="6"/>
      <c r="W262" s="6"/>
    </row>
    <row r="263" customFormat="false" ht="15" hidden="false" customHeight="false" outlineLevel="0" collapsed="false">
      <c r="A263" s="6" t="s">
        <v>1834</v>
      </c>
      <c r="B263" s="6" t="s">
        <v>1835</v>
      </c>
      <c r="C263" s="6" t="s">
        <v>1836</v>
      </c>
      <c r="D263" s="6" t="s">
        <v>39</v>
      </c>
      <c r="E263" s="6" t="s">
        <v>40</v>
      </c>
      <c r="F263" s="6"/>
      <c r="G263" s="6" t="s">
        <v>41</v>
      </c>
      <c r="H263" s="6" t="s">
        <v>63</v>
      </c>
      <c r="I263" s="7" t="n">
        <v>3500</v>
      </c>
      <c r="J263" s="7" t="n">
        <v>5600</v>
      </c>
      <c r="K263" s="6" t="n">
        <v>0</v>
      </c>
      <c r="L263" s="6" t="n">
        <v>4</v>
      </c>
      <c r="M263" s="6" t="s">
        <v>51</v>
      </c>
      <c r="N263" s="6" t="s">
        <v>1837</v>
      </c>
      <c r="O263" s="8" t="b">
        <f aca="false">TRUE()</f>
        <v>1</v>
      </c>
      <c r="P263" s="6" t="s">
        <v>1838</v>
      </c>
      <c r="Q263" s="6" t="s">
        <v>1827</v>
      </c>
      <c r="R263" s="6" t="s">
        <v>1827</v>
      </c>
      <c r="S263" s="9" t="b">
        <f aca="false">FALSE()</f>
        <v>0</v>
      </c>
      <c r="T263" s="6"/>
      <c r="U263" s="6"/>
      <c r="V263" s="6"/>
      <c r="W263" s="6"/>
    </row>
    <row r="264" customFormat="false" ht="15" hidden="false" customHeight="false" outlineLevel="0" collapsed="false">
      <c r="A264" s="6" t="s">
        <v>1839</v>
      </c>
      <c r="B264" s="6" t="s">
        <v>1840</v>
      </c>
      <c r="C264" s="6" t="s">
        <v>1841</v>
      </c>
      <c r="D264" s="6" t="s">
        <v>39</v>
      </c>
      <c r="E264" s="6" t="s">
        <v>40</v>
      </c>
      <c r="F264" s="6"/>
      <c r="G264" s="6" t="s">
        <v>41</v>
      </c>
      <c r="H264" s="6" t="s">
        <v>63</v>
      </c>
      <c r="I264" s="7" t="n">
        <v>3500</v>
      </c>
      <c r="J264" s="7" t="n">
        <v>5600</v>
      </c>
      <c r="K264" s="6" t="n">
        <v>0</v>
      </c>
      <c r="L264" s="6" t="n">
        <v>4</v>
      </c>
      <c r="M264" s="6" t="s">
        <v>51</v>
      </c>
      <c r="N264" s="6" t="s">
        <v>1842</v>
      </c>
      <c r="O264" s="8" t="b">
        <f aca="false">TRUE()</f>
        <v>1</v>
      </c>
      <c r="P264" s="6" t="s">
        <v>1843</v>
      </c>
      <c r="Q264" s="6" t="s">
        <v>1827</v>
      </c>
      <c r="R264" s="6" t="s">
        <v>1827</v>
      </c>
      <c r="S264" s="9" t="b">
        <f aca="false">FALSE()</f>
        <v>0</v>
      </c>
      <c r="T264" s="6"/>
      <c r="U264" s="6"/>
      <c r="V264" s="6"/>
      <c r="W264" s="6"/>
    </row>
    <row r="265" customFormat="false" ht="15" hidden="false" customHeight="false" outlineLevel="0" collapsed="false">
      <c r="A265" s="6" t="s">
        <v>1844</v>
      </c>
      <c r="B265" s="6" t="s">
        <v>1845</v>
      </c>
      <c r="C265" s="6" t="s">
        <v>1846</v>
      </c>
      <c r="D265" s="6" t="s">
        <v>39</v>
      </c>
      <c r="E265" s="6" t="s">
        <v>40</v>
      </c>
      <c r="F265" s="6"/>
      <c r="G265" s="6" t="s">
        <v>41</v>
      </c>
      <c r="H265" s="6" t="s">
        <v>63</v>
      </c>
      <c r="I265" s="7" t="n">
        <v>3500</v>
      </c>
      <c r="J265" s="7" t="n">
        <v>5600</v>
      </c>
      <c r="K265" s="6" t="n">
        <v>0</v>
      </c>
      <c r="L265" s="6" t="n">
        <v>4</v>
      </c>
      <c r="M265" s="6" t="s">
        <v>51</v>
      </c>
      <c r="N265" s="6" t="s">
        <v>1847</v>
      </c>
      <c r="O265" s="8" t="b">
        <f aca="false">TRUE()</f>
        <v>1</v>
      </c>
      <c r="P265" s="6" t="s">
        <v>1848</v>
      </c>
      <c r="Q265" s="6" t="s">
        <v>1827</v>
      </c>
      <c r="R265" s="6" t="s">
        <v>1827</v>
      </c>
      <c r="S265" s="9" t="b">
        <f aca="false">FALSE()</f>
        <v>0</v>
      </c>
      <c r="T265" s="6"/>
      <c r="U265" s="6"/>
      <c r="V265" s="6"/>
      <c r="W265" s="6"/>
    </row>
    <row r="266" customFormat="false" ht="15" hidden="false" customHeight="false" outlineLevel="0" collapsed="false">
      <c r="A266" s="6" t="s">
        <v>1849</v>
      </c>
      <c r="B266" s="6" t="s">
        <v>1850</v>
      </c>
      <c r="C266" s="6" t="s">
        <v>1851</v>
      </c>
      <c r="D266" s="6" t="s">
        <v>39</v>
      </c>
      <c r="E266" s="6" t="s">
        <v>40</v>
      </c>
      <c r="F266" s="6"/>
      <c r="G266" s="6"/>
      <c r="H266" s="6" t="s">
        <v>1852</v>
      </c>
      <c r="I266" s="7" t="n">
        <v>6500</v>
      </c>
      <c r="J266" s="7" t="n">
        <v>12500</v>
      </c>
      <c r="K266" s="6" t="n">
        <v>0</v>
      </c>
      <c r="L266" s="6" t="n">
        <v>4</v>
      </c>
      <c r="M266" s="6" t="s">
        <v>1853</v>
      </c>
      <c r="N266" s="6" t="s">
        <v>1854</v>
      </c>
      <c r="O266" s="8" t="b">
        <f aca="false">TRUE()</f>
        <v>1</v>
      </c>
      <c r="P266" s="6" t="s">
        <v>1855</v>
      </c>
      <c r="Q266" s="6" t="s">
        <v>1827</v>
      </c>
      <c r="R266" s="6" t="s">
        <v>1827</v>
      </c>
      <c r="S266" s="9" t="b">
        <f aca="false">FALSE()</f>
        <v>0</v>
      </c>
      <c r="T266" s="6"/>
      <c r="U266" s="6"/>
      <c r="V266" s="6"/>
      <c r="W266" s="6"/>
    </row>
    <row r="267" customFormat="false" ht="15" hidden="false" customHeight="false" outlineLevel="0" collapsed="false">
      <c r="A267" s="6" t="s">
        <v>1856</v>
      </c>
      <c r="B267" s="6" t="s">
        <v>1857</v>
      </c>
      <c r="C267" s="6" t="s">
        <v>1858</v>
      </c>
      <c r="D267" s="6" t="s">
        <v>39</v>
      </c>
      <c r="E267" s="6" t="s">
        <v>40</v>
      </c>
      <c r="F267" s="6"/>
      <c r="G267" s="6"/>
      <c r="H267" s="6" t="s">
        <v>1063</v>
      </c>
      <c r="I267" s="7" t="n">
        <v>6500</v>
      </c>
      <c r="J267" s="7" t="n">
        <v>12500</v>
      </c>
      <c r="K267" s="6" t="n">
        <v>0</v>
      </c>
      <c r="L267" s="6" t="n">
        <v>4</v>
      </c>
      <c r="M267" s="6" t="s">
        <v>1853</v>
      </c>
      <c r="N267" s="6" t="s">
        <v>1859</v>
      </c>
      <c r="O267" s="8" t="b">
        <f aca="false">TRUE()</f>
        <v>1</v>
      </c>
      <c r="P267" s="6" t="s">
        <v>1860</v>
      </c>
      <c r="Q267" s="6" t="s">
        <v>1827</v>
      </c>
      <c r="R267" s="6" t="s">
        <v>1827</v>
      </c>
      <c r="S267" s="9" t="b">
        <f aca="false">FALSE()</f>
        <v>0</v>
      </c>
      <c r="T267" s="6"/>
      <c r="U267" s="6"/>
      <c r="V267" s="6"/>
      <c r="W267" s="6"/>
    </row>
    <row r="268" customFormat="false" ht="15" hidden="false" customHeight="false" outlineLevel="0" collapsed="false">
      <c r="A268" s="6" t="s">
        <v>1861</v>
      </c>
      <c r="B268" s="6" t="s">
        <v>1862</v>
      </c>
      <c r="C268" s="6" t="s">
        <v>1863</v>
      </c>
      <c r="D268" s="6" t="s">
        <v>39</v>
      </c>
      <c r="E268" s="6" t="s">
        <v>40</v>
      </c>
      <c r="F268" s="6"/>
      <c r="G268" s="6" t="s">
        <v>41</v>
      </c>
      <c r="H268" s="6" t="s">
        <v>1864</v>
      </c>
      <c r="I268" s="7" t="n">
        <v>5500</v>
      </c>
      <c r="J268" s="7" t="n">
        <v>8500</v>
      </c>
      <c r="K268" s="6" t="n">
        <v>0</v>
      </c>
      <c r="L268" s="6" t="n">
        <v>8</v>
      </c>
      <c r="M268" s="6" t="s">
        <v>1865</v>
      </c>
      <c r="N268" s="6" t="s">
        <v>1866</v>
      </c>
      <c r="O268" s="8" t="b">
        <f aca="false">TRUE()</f>
        <v>1</v>
      </c>
      <c r="P268" s="6" t="s">
        <v>1867</v>
      </c>
      <c r="Q268" s="6" t="s">
        <v>1827</v>
      </c>
      <c r="R268" s="6" t="s">
        <v>1827</v>
      </c>
      <c r="S268" s="9" t="b">
        <f aca="false">FALSE()</f>
        <v>0</v>
      </c>
      <c r="T268" s="6"/>
      <c r="U268" s="6"/>
      <c r="V268" s="6"/>
      <c r="W268" s="6"/>
    </row>
    <row r="269" customFormat="false" ht="15" hidden="false" customHeight="false" outlineLevel="0" collapsed="false">
      <c r="A269" s="6" t="s">
        <v>1868</v>
      </c>
      <c r="B269" s="6" t="s">
        <v>1869</v>
      </c>
      <c r="C269" s="6" t="s">
        <v>1870</v>
      </c>
      <c r="D269" s="6" t="s">
        <v>39</v>
      </c>
      <c r="E269" s="6" t="s">
        <v>40</v>
      </c>
      <c r="F269" s="6"/>
      <c r="G269" s="6"/>
      <c r="H269" s="6" t="s">
        <v>1871</v>
      </c>
      <c r="I269" s="7" t="n">
        <v>6500</v>
      </c>
      <c r="J269" s="7" t="n">
        <v>12500</v>
      </c>
      <c r="K269" s="6" t="n">
        <v>0</v>
      </c>
      <c r="L269" s="6" t="n">
        <v>4</v>
      </c>
      <c r="M269" s="6" t="s">
        <v>1872</v>
      </c>
      <c r="N269" s="6" t="s">
        <v>1873</v>
      </c>
      <c r="O269" s="8" t="b">
        <f aca="false">TRUE()</f>
        <v>1</v>
      </c>
      <c r="P269" s="6" t="s">
        <v>1874</v>
      </c>
      <c r="Q269" s="6" t="s">
        <v>1827</v>
      </c>
      <c r="R269" s="6" t="s">
        <v>1827</v>
      </c>
      <c r="S269" s="9" t="b">
        <f aca="false">FALSE()</f>
        <v>0</v>
      </c>
      <c r="T269" s="6"/>
      <c r="U269" s="6"/>
      <c r="V269" s="6"/>
      <c r="W269" s="6"/>
    </row>
    <row r="270" customFormat="false" ht="15" hidden="false" customHeight="false" outlineLevel="0" collapsed="false">
      <c r="A270" s="6" t="s">
        <v>1875</v>
      </c>
      <c r="B270" s="6" t="s">
        <v>1876</v>
      </c>
      <c r="C270" s="6" t="s">
        <v>1877</v>
      </c>
      <c r="D270" s="6" t="s">
        <v>39</v>
      </c>
      <c r="E270" s="6" t="s">
        <v>40</v>
      </c>
      <c r="F270" s="6"/>
      <c r="G270" s="6"/>
      <c r="H270" s="6" t="s">
        <v>1878</v>
      </c>
      <c r="I270" s="7" t="n">
        <v>6500</v>
      </c>
      <c r="J270" s="7" t="n">
        <v>12500</v>
      </c>
      <c r="K270" s="6" t="n">
        <v>0</v>
      </c>
      <c r="L270" s="6" t="n">
        <v>4</v>
      </c>
      <c r="M270" s="6" t="s">
        <v>1879</v>
      </c>
      <c r="N270" s="6" t="s">
        <v>1880</v>
      </c>
      <c r="O270" s="8" t="b">
        <f aca="false">TRUE()</f>
        <v>1</v>
      </c>
      <c r="P270" s="6" t="s">
        <v>1881</v>
      </c>
      <c r="Q270" s="6" t="s">
        <v>1882</v>
      </c>
      <c r="R270" s="6" t="s">
        <v>1882</v>
      </c>
      <c r="S270" s="9" t="b">
        <f aca="false">FALSE()</f>
        <v>0</v>
      </c>
      <c r="T270" s="6"/>
      <c r="U270" s="6"/>
      <c r="V270" s="6"/>
      <c r="W270" s="6"/>
    </row>
    <row r="271" customFormat="false" ht="15" hidden="false" customHeight="false" outlineLevel="0" collapsed="false">
      <c r="A271" s="6" t="s">
        <v>1883</v>
      </c>
      <c r="B271" s="6" t="s">
        <v>1884</v>
      </c>
      <c r="C271" s="6" t="s">
        <v>1885</v>
      </c>
      <c r="D271" s="6" t="s">
        <v>39</v>
      </c>
      <c r="E271" s="6" t="s">
        <v>40</v>
      </c>
      <c r="F271" s="6"/>
      <c r="G271" s="6"/>
      <c r="H271" s="6" t="s">
        <v>42</v>
      </c>
      <c r="I271" s="7" t="n">
        <v>6500</v>
      </c>
      <c r="J271" s="7" t="n">
        <v>12500</v>
      </c>
      <c r="K271" s="6" t="n">
        <v>0</v>
      </c>
      <c r="L271" s="6" t="n">
        <v>4</v>
      </c>
      <c r="M271" s="6" t="s">
        <v>1886</v>
      </c>
      <c r="N271" s="6" t="s">
        <v>1887</v>
      </c>
      <c r="O271" s="8" t="b">
        <f aca="false">TRUE()</f>
        <v>1</v>
      </c>
      <c r="P271" s="6" t="s">
        <v>1888</v>
      </c>
      <c r="Q271" s="6" t="s">
        <v>1882</v>
      </c>
      <c r="R271" s="6" t="s">
        <v>1882</v>
      </c>
      <c r="S271" s="9" t="b">
        <f aca="false">FALSE()</f>
        <v>0</v>
      </c>
      <c r="T271" s="6"/>
      <c r="U271" s="6"/>
      <c r="V271" s="6"/>
      <c r="W271" s="6"/>
    </row>
    <row r="272" customFormat="false" ht="15" hidden="false" customHeight="false" outlineLevel="0" collapsed="false">
      <c r="A272" s="6" t="s">
        <v>1889</v>
      </c>
      <c r="B272" s="6" t="s">
        <v>1890</v>
      </c>
      <c r="C272" s="6" t="s">
        <v>1891</v>
      </c>
      <c r="D272" s="6" t="s">
        <v>39</v>
      </c>
      <c r="E272" s="6" t="s">
        <v>40</v>
      </c>
      <c r="F272" s="6"/>
      <c r="G272" s="6"/>
      <c r="H272" s="6" t="s">
        <v>1892</v>
      </c>
      <c r="I272" s="7" t="n">
        <v>6500</v>
      </c>
      <c r="J272" s="7" t="n">
        <v>14000</v>
      </c>
      <c r="K272" s="6" t="n">
        <v>0</v>
      </c>
      <c r="L272" s="6" t="n">
        <v>4</v>
      </c>
      <c r="M272" s="6" t="s">
        <v>1893</v>
      </c>
      <c r="N272" s="6" t="s">
        <v>1894</v>
      </c>
      <c r="O272" s="8" t="b">
        <f aca="false">TRUE()</f>
        <v>1</v>
      </c>
      <c r="P272" s="6" t="s">
        <v>1895</v>
      </c>
      <c r="Q272" s="6" t="s">
        <v>1882</v>
      </c>
      <c r="R272" s="6" t="s">
        <v>1492</v>
      </c>
      <c r="S272" s="9" t="b">
        <f aca="false">FALSE()</f>
        <v>0</v>
      </c>
      <c r="T272" s="6"/>
      <c r="U272" s="6"/>
      <c r="V272" s="6"/>
      <c r="W272" s="6"/>
    </row>
    <row r="273" customFormat="false" ht="15" hidden="false" customHeight="false" outlineLevel="0" collapsed="false">
      <c r="A273" s="6" t="s">
        <v>1896</v>
      </c>
      <c r="B273" s="6" t="s">
        <v>1897</v>
      </c>
      <c r="C273" s="6" t="s">
        <v>1898</v>
      </c>
      <c r="D273" s="6" t="s">
        <v>39</v>
      </c>
      <c r="E273" s="6" t="s">
        <v>40</v>
      </c>
      <c r="F273" s="6"/>
      <c r="G273" s="6"/>
      <c r="H273" s="6" t="s">
        <v>1899</v>
      </c>
      <c r="I273" s="7" t="n">
        <v>10000</v>
      </c>
      <c r="J273" s="7" t="n">
        <v>14000</v>
      </c>
      <c r="K273" s="6" t="n">
        <v>0</v>
      </c>
      <c r="L273" s="6" t="n">
        <v>2</v>
      </c>
      <c r="M273" s="6" t="s">
        <v>1900</v>
      </c>
      <c r="N273" s="6" t="s">
        <v>1901</v>
      </c>
      <c r="O273" s="8" t="b">
        <f aca="false">TRUE()</f>
        <v>1</v>
      </c>
      <c r="P273" s="6" t="s">
        <v>1902</v>
      </c>
      <c r="Q273" s="6" t="s">
        <v>1882</v>
      </c>
      <c r="R273" s="6" t="s">
        <v>1492</v>
      </c>
      <c r="S273" s="9" t="b">
        <f aca="false">FALSE()</f>
        <v>0</v>
      </c>
      <c r="T273" s="6"/>
      <c r="U273" s="6"/>
      <c r="V273" s="6"/>
      <c r="W273" s="6"/>
    </row>
    <row r="274" customFormat="false" ht="15" hidden="false" customHeight="false" outlineLevel="0" collapsed="false">
      <c r="A274" s="6" t="s">
        <v>1903</v>
      </c>
      <c r="B274" s="6" t="s">
        <v>1904</v>
      </c>
      <c r="C274" s="6" t="s">
        <v>1905</v>
      </c>
      <c r="D274" s="6" t="s">
        <v>39</v>
      </c>
      <c r="E274" s="6" t="s">
        <v>40</v>
      </c>
      <c r="F274" s="6"/>
      <c r="G274" s="6"/>
      <c r="H274" s="6" t="s">
        <v>1906</v>
      </c>
      <c r="I274" s="7" t="n">
        <v>6500</v>
      </c>
      <c r="J274" s="7" t="n">
        <v>10999</v>
      </c>
      <c r="K274" s="6" t="n">
        <v>0</v>
      </c>
      <c r="L274" s="6" t="n">
        <v>2</v>
      </c>
      <c r="M274" s="6" t="s">
        <v>1907</v>
      </c>
      <c r="N274" s="6" t="s">
        <v>1908</v>
      </c>
      <c r="O274" s="8" t="b">
        <f aca="false">TRUE()</f>
        <v>1</v>
      </c>
      <c r="P274" s="6" t="s">
        <v>1909</v>
      </c>
      <c r="Q274" s="6" t="s">
        <v>1882</v>
      </c>
      <c r="R274" s="6" t="s">
        <v>1882</v>
      </c>
      <c r="S274" s="9" t="b">
        <f aca="false">FALSE()</f>
        <v>0</v>
      </c>
      <c r="T274" s="6"/>
      <c r="U274" s="6"/>
      <c r="V274" s="6"/>
      <c r="W274" s="6"/>
    </row>
    <row r="275" customFormat="false" ht="15" hidden="false" customHeight="false" outlineLevel="0" collapsed="false">
      <c r="A275" s="6" t="s">
        <v>1910</v>
      </c>
      <c r="B275" s="6" t="s">
        <v>1911</v>
      </c>
      <c r="C275" s="6" t="s">
        <v>1912</v>
      </c>
      <c r="D275" s="6" t="s">
        <v>39</v>
      </c>
      <c r="E275" s="6" t="s">
        <v>40</v>
      </c>
      <c r="F275" s="6"/>
      <c r="G275" s="6"/>
      <c r="H275" s="6" t="s">
        <v>1913</v>
      </c>
      <c r="I275" s="7" t="n">
        <v>6500</v>
      </c>
      <c r="J275" s="7" t="n">
        <v>12500</v>
      </c>
      <c r="K275" s="6" t="n">
        <v>0</v>
      </c>
      <c r="L275" s="6" t="n">
        <v>4</v>
      </c>
      <c r="M275" s="6" t="s">
        <v>1853</v>
      </c>
      <c r="N275" s="6" t="s">
        <v>1914</v>
      </c>
      <c r="O275" s="8" t="b">
        <f aca="false">TRUE()</f>
        <v>1</v>
      </c>
      <c r="P275" s="6" t="s">
        <v>1915</v>
      </c>
      <c r="Q275" s="6" t="s">
        <v>1882</v>
      </c>
      <c r="R275" s="6" t="s">
        <v>1882</v>
      </c>
      <c r="S275" s="9" t="b">
        <f aca="false">FALSE()</f>
        <v>0</v>
      </c>
      <c r="T275" s="6"/>
      <c r="U275" s="6"/>
      <c r="V275" s="6"/>
      <c r="W275" s="6"/>
    </row>
    <row r="276" customFormat="false" ht="15" hidden="false" customHeight="false" outlineLevel="0" collapsed="false">
      <c r="A276" s="6" t="s">
        <v>1916</v>
      </c>
      <c r="B276" s="6" t="s">
        <v>1917</v>
      </c>
      <c r="C276" s="6" t="s">
        <v>1918</v>
      </c>
      <c r="D276" s="6" t="s">
        <v>39</v>
      </c>
      <c r="E276" s="6" t="s">
        <v>40</v>
      </c>
      <c r="F276" s="6"/>
      <c r="G276" s="6" t="s">
        <v>41</v>
      </c>
      <c r="H276" s="6" t="s">
        <v>1906</v>
      </c>
      <c r="I276" s="7" t="n">
        <v>3500</v>
      </c>
      <c r="J276" s="7" t="n">
        <v>5600</v>
      </c>
      <c r="K276" s="6" t="n">
        <v>0</v>
      </c>
      <c r="L276" s="6" t="n">
        <v>4</v>
      </c>
      <c r="M276" s="6" t="s">
        <v>1409</v>
      </c>
      <c r="N276" s="6" t="s">
        <v>1919</v>
      </c>
      <c r="O276" s="8" t="b">
        <f aca="false">TRUE()</f>
        <v>1</v>
      </c>
      <c r="P276" s="6" t="s">
        <v>1920</v>
      </c>
      <c r="Q276" s="6" t="s">
        <v>1882</v>
      </c>
      <c r="R276" s="6" t="s">
        <v>1882</v>
      </c>
      <c r="S276" s="9" t="b">
        <f aca="false">FALSE()</f>
        <v>0</v>
      </c>
      <c r="T276" s="6"/>
      <c r="U276" s="6"/>
      <c r="V276" s="6"/>
      <c r="W276" s="6"/>
    </row>
    <row r="277" customFormat="false" ht="15" hidden="false" customHeight="false" outlineLevel="0" collapsed="false">
      <c r="A277" s="6" t="s">
        <v>1921</v>
      </c>
      <c r="B277" s="6" t="s">
        <v>1922</v>
      </c>
      <c r="C277" s="6" t="s">
        <v>1923</v>
      </c>
      <c r="D277" s="6" t="s">
        <v>39</v>
      </c>
      <c r="E277" s="6" t="s">
        <v>40</v>
      </c>
      <c r="F277" s="6"/>
      <c r="G277" s="6"/>
      <c r="H277" s="6" t="s">
        <v>1924</v>
      </c>
      <c r="I277" s="7" t="n">
        <v>6500</v>
      </c>
      <c r="J277" s="7" t="n">
        <v>10999</v>
      </c>
      <c r="K277" s="6" t="n">
        <v>0</v>
      </c>
      <c r="L277" s="6" t="n">
        <v>2</v>
      </c>
      <c r="M277" s="6" t="s">
        <v>1925</v>
      </c>
      <c r="N277" s="6" t="s">
        <v>1926</v>
      </c>
      <c r="O277" s="8" t="b">
        <f aca="false">TRUE()</f>
        <v>1</v>
      </c>
      <c r="P277" s="6" t="s">
        <v>1927</v>
      </c>
      <c r="Q277" s="6" t="s">
        <v>1882</v>
      </c>
      <c r="R277" s="6" t="s">
        <v>1882</v>
      </c>
      <c r="S277" s="9" t="b">
        <f aca="false">FALSE()</f>
        <v>0</v>
      </c>
      <c r="T277" s="6"/>
      <c r="U277" s="6"/>
      <c r="V277" s="6"/>
      <c r="W277" s="6"/>
    </row>
    <row r="278" customFormat="false" ht="15" hidden="false" customHeight="false" outlineLevel="0" collapsed="false">
      <c r="A278" s="6" t="s">
        <v>1928</v>
      </c>
      <c r="B278" s="6" t="s">
        <v>1929</v>
      </c>
      <c r="C278" s="6" t="s">
        <v>1930</v>
      </c>
      <c r="D278" s="6" t="s">
        <v>39</v>
      </c>
      <c r="E278" s="6" t="s">
        <v>40</v>
      </c>
      <c r="F278" s="6"/>
      <c r="G278" s="6"/>
      <c r="H278" s="6" t="s">
        <v>1924</v>
      </c>
      <c r="I278" s="7" t="n">
        <v>5500</v>
      </c>
      <c r="J278" s="7" t="n">
        <v>8500</v>
      </c>
      <c r="K278" s="6" t="n">
        <v>0</v>
      </c>
      <c r="L278" s="6" t="n">
        <v>4</v>
      </c>
      <c r="M278" s="6" t="s">
        <v>1931</v>
      </c>
      <c r="N278" s="6" t="s">
        <v>1932</v>
      </c>
      <c r="O278" s="8" t="b">
        <f aca="false">TRUE()</f>
        <v>1</v>
      </c>
      <c r="P278" s="6" t="s">
        <v>1933</v>
      </c>
      <c r="Q278" s="6" t="s">
        <v>1934</v>
      </c>
      <c r="R278" s="6" t="s">
        <v>1934</v>
      </c>
      <c r="S278" s="9" t="b">
        <f aca="false">FALSE()</f>
        <v>0</v>
      </c>
      <c r="T278" s="6"/>
      <c r="U278" s="6"/>
      <c r="V278" s="6"/>
      <c r="W278" s="6"/>
    </row>
    <row r="279" customFormat="false" ht="15" hidden="false" customHeight="false" outlineLevel="0" collapsed="false">
      <c r="A279" s="6" t="s">
        <v>1935</v>
      </c>
      <c r="B279" s="6" t="s">
        <v>1936</v>
      </c>
      <c r="C279" s="6" t="s">
        <v>1937</v>
      </c>
      <c r="D279" s="6" t="s">
        <v>39</v>
      </c>
      <c r="E279" s="6" t="s">
        <v>40</v>
      </c>
      <c r="F279" s="6"/>
      <c r="G279" s="6"/>
      <c r="H279" s="6" t="s">
        <v>1924</v>
      </c>
      <c r="I279" s="7" t="n">
        <v>5500</v>
      </c>
      <c r="J279" s="7" t="n">
        <v>8500</v>
      </c>
      <c r="K279" s="6" t="n">
        <v>0</v>
      </c>
      <c r="L279" s="6" t="n">
        <v>4</v>
      </c>
      <c r="M279" s="6" t="s">
        <v>1938</v>
      </c>
      <c r="N279" s="6" t="s">
        <v>1939</v>
      </c>
      <c r="O279" s="8" t="b">
        <f aca="false">TRUE()</f>
        <v>1</v>
      </c>
      <c r="P279" s="6" t="s">
        <v>1940</v>
      </c>
      <c r="Q279" s="6" t="s">
        <v>1934</v>
      </c>
      <c r="R279" s="6" t="s">
        <v>1934</v>
      </c>
      <c r="S279" s="9" t="b">
        <f aca="false">FALSE()</f>
        <v>0</v>
      </c>
      <c r="T279" s="6"/>
      <c r="U279" s="6"/>
      <c r="V279" s="6"/>
      <c r="W279" s="6"/>
    </row>
    <row r="280" customFormat="false" ht="15" hidden="false" customHeight="false" outlineLevel="0" collapsed="false">
      <c r="A280" s="6" t="s">
        <v>1941</v>
      </c>
      <c r="B280" s="6" t="s">
        <v>1942</v>
      </c>
      <c r="C280" s="6" t="s">
        <v>1943</v>
      </c>
      <c r="D280" s="6" t="s">
        <v>39</v>
      </c>
      <c r="E280" s="6" t="s">
        <v>40</v>
      </c>
      <c r="F280" s="6"/>
      <c r="G280" s="6"/>
      <c r="H280" s="6" t="s">
        <v>1944</v>
      </c>
      <c r="I280" s="7" t="n">
        <v>5500</v>
      </c>
      <c r="J280" s="7" t="n">
        <v>8500</v>
      </c>
      <c r="K280" s="6" t="n">
        <v>0</v>
      </c>
      <c r="L280" s="6" t="n">
        <v>4</v>
      </c>
      <c r="M280" s="6" t="s">
        <v>1938</v>
      </c>
      <c r="N280" s="6" t="s">
        <v>1945</v>
      </c>
      <c r="O280" s="8" t="b">
        <f aca="false">TRUE()</f>
        <v>1</v>
      </c>
      <c r="P280" s="6" t="s">
        <v>1946</v>
      </c>
      <c r="Q280" s="6" t="s">
        <v>1934</v>
      </c>
      <c r="R280" s="6" t="s">
        <v>1934</v>
      </c>
      <c r="S280" s="9" t="b">
        <f aca="false">FALSE()</f>
        <v>0</v>
      </c>
      <c r="T280" s="6"/>
      <c r="U280" s="6"/>
      <c r="V280" s="6"/>
      <c r="W280" s="6"/>
    </row>
    <row r="281" customFormat="false" ht="15" hidden="false" customHeight="false" outlineLevel="0" collapsed="false">
      <c r="A281" s="6" t="s">
        <v>1947</v>
      </c>
      <c r="B281" s="6" t="s">
        <v>1948</v>
      </c>
      <c r="C281" s="6" t="s">
        <v>1949</v>
      </c>
      <c r="D281" s="6" t="s">
        <v>39</v>
      </c>
      <c r="E281" s="6" t="s">
        <v>40</v>
      </c>
      <c r="F281" s="6"/>
      <c r="G281" s="6"/>
      <c r="H281" s="6" t="s">
        <v>1944</v>
      </c>
      <c r="I281" s="7" t="n">
        <v>6500</v>
      </c>
      <c r="J281" s="7" t="n">
        <v>12500</v>
      </c>
      <c r="K281" s="6" t="n">
        <v>0</v>
      </c>
      <c r="L281" s="6" t="n">
        <v>4</v>
      </c>
      <c r="M281" s="6" t="s">
        <v>1950</v>
      </c>
      <c r="N281" s="6" t="s">
        <v>1951</v>
      </c>
      <c r="O281" s="8" t="b">
        <f aca="false">TRUE()</f>
        <v>1</v>
      </c>
      <c r="P281" s="6" t="s">
        <v>1952</v>
      </c>
      <c r="Q281" s="6" t="s">
        <v>1934</v>
      </c>
      <c r="R281" s="6" t="s">
        <v>1934</v>
      </c>
      <c r="S281" s="9" t="b">
        <f aca="false">FALSE()</f>
        <v>0</v>
      </c>
      <c r="T281" s="6"/>
      <c r="U281" s="6"/>
      <c r="V281" s="6"/>
      <c r="W281" s="6"/>
    </row>
    <row r="282" customFormat="false" ht="15" hidden="false" customHeight="false" outlineLevel="0" collapsed="false">
      <c r="A282" s="6" t="s">
        <v>1953</v>
      </c>
      <c r="B282" s="6" t="s">
        <v>1954</v>
      </c>
      <c r="C282" s="6" t="s">
        <v>1955</v>
      </c>
      <c r="D282" s="6" t="s">
        <v>39</v>
      </c>
      <c r="E282" s="6" t="s">
        <v>40</v>
      </c>
      <c r="F282" s="6"/>
      <c r="G282" s="6" t="s">
        <v>41</v>
      </c>
      <c r="H282" s="6" t="s">
        <v>1956</v>
      </c>
      <c r="I282" s="7" t="n">
        <v>3500</v>
      </c>
      <c r="J282" s="7" t="n">
        <v>5600</v>
      </c>
      <c r="K282" s="6" t="n">
        <v>0</v>
      </c>
      <c r="L282" s="6" t="n">
        <v>4</v>
      </c>
      <c r="M282" s="6" t="s">
        <v>1409</v>
      </c>
      <c r="N282" s="6" t="s">
        <v>1957</v>
      </c>
      <c r="O282" s="8" t="b">
        <f aca="false">TRUE()</f>
        <v>1</v>
      </c>
      <c r="P282" s="6" t="s">
        <v>1958</v>
      </c>
      <c r="Q282" s="6" t="s">
        <v>1959</v>
      </c>
      <c r="R282" s="6" t="s">
        <v>1959</v>
      </c>
      <c r="S282" s="9" t="b">
        <f aca="false">FALSE()</f>
        <v>0</v>
      </c>
      <c r="T282" s="6"/>
      <c r="U282" s="6"/>
      <c r="V282" s="6"/>
      <c r="W282" s="6"/>
    </row>
    <row r="283" customFormat="false" ht="15" hidden="false" customHeight="false" outlineLevel="0" collapsed="false">
      <c r="A283" s="6" t="s">
        <v>1960</v>
      </c>
      <c r="B283" s="6" t="s">
        <v>1961</v>
      </c>
      <c r="C283" s="6" t="s">
        <v>1962</v>
      </c>
      <c r="D283" s="6" t="s">
        <v>39</v>
      </c>
      <c r="E283" s="6" t="s">
        <v>40</v>
      </c>
      <c r="F283" s="6"/>
      <c r="G283" s="6" t="s">
        <v>41</v>
      </c>
      <c r="H283" s="6" t="s">
        <v>1956</v>
      </c>
      <c r="I283" s="7" t="n">
        <v>3500</v>
      </c>
      <c r="J283" s="7" t="n">
        <v>5600</v>
      </c>
      <c r="K283" s="6" t="n">
        <v>0</v>
      </c>
      <c r="L283" s="6" t="n">
        <v>4</v>
      </c>
      <c r="M283" s="6" t="s">
        <v>1409</v>
      </c>
      <c r="N283" s="6" t="s">
        <v>1963</v>
      </c>
      <c r="O283" s="8" t="b">
        <f aca="false">TRUE()</f>
        <v>1</v>
      </c>
      <c r="P283" s="6" t="s">
        <v>1964</v>
      </c>
      <c r="Q283" s="6" t="s">
        <v>1959</v>
      </c>
      <c r="R283" s="6" t="s">
        <v>1959</v>
      </c>
      <c r="S283" s="9" t="b">
        <f aca="false">FALSE()</f>
        <v>0</v>
      </c>
      <c r="T283" s="6"/>
      <c r="U283" s="6"/>
      <c r="V283" s="6"/>
      <c r="W283" s="6"/>
    </row>
    <row r="284" customFormat="false" ht="15" hidden="false" customHeight="false" outlineLevel="0" collapsed="false">
      <c r="A284" s="6" t="s">
        <v>1965</v>
      </c>
      <c r="B284" s="6" t="s">
        <v>1966</v>
      </c>
      <c r="C284" s="6" t="s">
        <v>1967</v>
      </c>
      <c r="D284" s="6" t="s">
        <v>39</v>
      </c>
      <c r="E284" s="6" t="s">
        <v>40</v>
      </c>
      <c r="F284" s="6"/>
      <c r="G284" s="6" t="s">
        <v>41</v>
      </c>
      <c r="H284" s="6" t="s">
        <v>1968</v>
      </c>
      <c r="I284" s="7" t="n">
        <v>3500</v>
      </c>
      <c r="J284" s="7" t="n">
        <v>5600</v>
      </c>
      <c r="K284" s="6" t="n">
        <v>0</v>
      </c>
      <c r="L284" s="6" t="n">
        <v>4</v>
      </c>
      <c r="M284" s="6" t="s">
        <v>1409</v>
      </c>
      <c r="N284" s="6" t="s">
        <v>1969</v>
      </c>
      <c r="O284" s="8" t="b">
        <f aca="false">TRUE()</f>
        <v>1</v>
      </c>
      <c r="P284" s="6" t="s">
        <v>1970</v>
      </c>
      <c r="Q284" s="6" t="s">
        <v>1959</v>
      </c>
      <c r="R284" s="6" t="s">
        <v>1959</v>
      </c>
      <c r="S284" s="9" t="b">
        <f aca="false">FALSE()</f>
        <v>0</v>
      </c>
      <c r="T284" s="6"/>
      <c r="U284" s="6"/>
      <c r="V284" s="6"/>
      <c r="W284" s="6"/>
    </row>
    <row r="285" customFormat="false" ht="15" hidden="false" customHeight="false" outlineLevel="0" collapsed="false">
      <c r="A285" s="6" t="s">
        <v>1971</v>
      </c>
      <c r="B285" s="6" t="s">
        <v>1972</v>
      </c>
      <c r="C285" s="6" t="s">
        <v>1973</v>
      </c>
      <c r="D285" s="6" t="s">
        <v>39</v>
      </c>
      <c r="E285" s="6" t="s">
        <v>40</v>
      </c>
      <c r="F285" s="6"/>
      <c r="G285" s="6" t="s">
        <v>41</v>
      </c>
      <c r="H285" s="6" t="s">
        <v>1968</v>
      </c>
      <c r="I285" s="7" t="n">
        <v>3500</v>
      </c>
      <c r="J285" s="7" t="n">
        <v>5600</v>
      </c>
      <c r="K285" s="6" t="n">
        <v>0</v>
      </c>
      <c r="L285" s="6" t="n">
        <v>4</v>
      </c>
      <c r="M285" s="6" t="s">
        <v>1409</v>
      </c>
      <c r="N285" s="6" t="s">
        <v>1974</v>
      </c>
      <c r="O285" s="8" t="b">
        <f aca="false">TRUE()</f>
        <v>1</v>
      </c>
      <c r="P285" s="6" t="s">
        <v>1975</v>
      </c>
      <c r="Q285" s="6" t="s">
        <v>1959</v>
      </c>
      <c r="R285" s="6" t="s">
        <v>1959</v>
      </c>
      <c r="S285" s="9" t="b">
        <f aca="false">FALSE()</f>
        <v>0</v>
      </c>
      <c r="T285" s="6"/>
      <c r="U285" s="6"/>
      <c r="V285" s="6"/>
      <c r="W285" s="6"/>
    </row>
    <row r="286" customFormat="false" ht="15" hidden="false" customHeight="false" outlineLevel="0" collapsed="false">
      <c r="A286" s="6" t="s">
        <v>1976</v>
      </c>
      <c r="B286" s="6" t="s">
        <v>1977</v>
      </c>
      <c r="C286" s="6" t="s">
        <v>1978</v>
      </c>
      <c r="D286" s="6" t="s">
        <v>39</v>
      </c>
      <c r="E286" s="6" t="s">
        <v>40</v>
      </c>
      <c r="F286" s="6"/>
      <c r="G286" s="6" t="s">
        <v>41</v>
      </c>
      <c r="H286" s="6" t="s">
        <v>1968</v>
      </c>
      <c r="I286" s="7" t="n">
        <v>3500</v>
      </c>
      <c r="J286" s="7" t="n">
        <v>5600</v>
      </c>
      <c r="K286" s="6" t="n">
        <v>0</v>
      </c>
      <c r="L286" s="6" t="n">
        <v>4</v>
      </c>
      <c r="M286" s="6" t="s">
        <v>1409</v>
      </c>
      <c r="N286" s="6" t="s">
        <v>1979</v>
      </c>
      <c r="O286" s="8" t="b">
        <f aca="false">TRUE()</f>
        <v>1</v>
      </c>
      <c r="P286" s="6" t="s">
        <v>1980</v>
      </c>
      <c r="Q286" s="6" t="s">
        <v>1959</v>
      </c>
      <c r="R286" s="6" t="s">
        <v>1959</v>
      </c>
      <c r="S286" s="9" t="b">
        <f aca="false">FALSE()</f>
        <v>0</v>
      </c>
      <c r="T286" s="6"/>
      <c r="U286" s="6"/>
      <c r="V286" s="6"/>
      <c r="W286" s="6"/>
    </row>
    <row r="287" customFormat="false" ht="15" hidden="false" customHeight="false" outlineLevel="0" collapsed="false">
      <c r="A287" s="6" t="s">
        <v>1981</v>
      </c>
      <c r="B287" s="6" t="s">
        <v>1982</v>
      </c>
      <c r="C287" s="6" t="s">
        <v>1983</v>
      </c>
      <c r="D287" s="6" t="s">
        <v>39</v>
      </c>
      <c r="E287" s="6" t="s">
        <v>40</v>
      </c>
      <c r="F287" s="6"/>
      <c r="G287" s="6" t="s">
        <v>41</v>
      </c>
      <c r="H287" s="6" t="s">
        <v>1968</v>
      </c>
      <c r="I287" s="7" t="n">
        <v>3500</v>
      </c>
      <c r="J287" s="7" t="n">
        <v>5600</v>
      </c>
      <c r="K287" s="6" t="n">
        <v>0</v>
      </c>
      <c r="L287" s="6" t="n">
        <v>4</v>
      </c>
      <c r="M287" s="6" t="s">
        <v>1409</v>
      </c>
      <c r="N287" s="6" t="s">
        <v>1984</v>
      </c>
      <c r="O287" s="8" t="b">
        <f aca="false">TRUE()</f>
        <v>1</v>
      </c>
      <c r="P287" s="6" t="s">
        <v>1985</v>
      </c>
      <c r="Q287" s="6" t="s">
        <v>1959</v>
      </c>
      <c r="R287" s="6" t="s">
        <v>1959</v>
      </c>
      <c r="S287" s="9" t="b">
        <f aca="false">FALSE()</f>
        <v>0</v>
      </c>
      <c r="T287" s="6"/>
      <c r="U287" s="6"/>
      <c r="V287" s="6"/>
      <c r="W287" s="6"/>
    </row>
    <row r="288" customFormat="false" ht="15" hidden="false" customHeight="false" outlineLevel="0" collapsed="false">
      <c r="A288" s="6" t="s">
        <v>1986</v>
      </c>
      <c r="B288" s="6" t="s">
        <v>1987</v>
      </c>
      <c r="C288" s="6" t="s">
        <v>1988</v>
      </c>
      <c r="D288" s="6" t="s">
        <v>39</v>
      </c>
      <c r="E288" s="6" t="s">
        <v>40</v>
      </c>
      <c r="F288" s="6"/>
      <c r="G288" s="6" t="s">
        <v>41</v>
      </c>
      <c r="H288" s="6" t="s">
        <v>1968</v>
      </c>
      <c r="I288" s="7" t="n">
        <v>3500</v>
      </c>
      <c r="J288" s="7" t="n">
        <v>5600</v>
      </c>
      <c r="K288" s="6" t="n">
        <v>0</v>
      </c>
      <c r="L288" s="6" t="n">
        <v>4</v>
      </c>
      <c r="M288" s="6" t="s">
        <v>1409</v>
      </c>
      <c r="N288" s="6" t="s">
        <v>1989</v>
      </c>
      <c r="O288" s="8" t="b">
        <f aca="false">TRUE()</f>
        <v>1</v>
      </c>
      <c r="P288" s="6" t="s">
        <v>1990</v>
      </c>
      <c r="Q288" s="6" t="s">
        <v>1959</v>
      </c>
      <c r="R288" s="6" t="s">
        <v>1959</v>
      </c>
      <c r="S288" s="10" t="b">
        <f aca="false">TRUE()</f>
        <v>1</v>
      </c>
      <c r="T288" s="6" t="s">
        <v>1991</v>
      </c>
      <c r="U288" s="6" t="s">
        <v>73</v>
      </c>
      <c r="V288" s="6" t="s">
        <v>1992</v>
      </c>
      <c r="W288" s="6" t="s">
        <v>75</v>
      </c>
    </row>
    <row r="289" customFormat="false" ht="15" hidden="false" customHeight="false" outlineLevel="0" collapsed="false">
      <c r="A289" s="6" t="s">
        <v>1993</v>
      </c>
      <c r="B289" s="6" t="s">
        <v>1994</v>
      </c>
      <c r="C289" s="6" t="s">
        <v>1995</v>
      </c>
      <c r="D289" s="6" t="s">
        <v>39</v>
      </c>
      <c r="E289" s="6" t="s">
        <v>40</v>
      </c>
      <c r="F289" s="6"/>
      <c r="G289" s="6" t="s">
        <v>41</v>
      </c>
      <c r="H289" s="6" t="s">
        <v>1968</v>
      </c>
      <c r="I289" s="7" t="n">
        <v>3500</v>
      </c>
      <c r="J289" s="7" t="n">
        <v>5600</v>
      </c>
      <c r="K289" s="6" t="n">
        <v>0</v>
      </c>
      <c r="L289" s="6" t="n">
        <v>4</v>
      </c>
      <c r="M289" s="6" t="s">
        <v>87</v>
      </c>
      <c r="N289" s="6" t="s">
        <v>1996</v>
      </c>
      <c r="O289" s="8" t="b">
        <f aca="false">TRUE()</f>
        <v>1</v>
      </c>
      <c r="P289" s="6" t="s">
        <v>1997</v>
      </c>
      <c r="Q289" s="6" t="s">
        <v>1959</v>
      </c>
      <c r="R289" s="6" t="s">
        <v>1959</v>
      </c>
      <c r="S289" s="10" t="b">
        <f aca="false">TRUE()</f>
        <v>1</v>
      </c>
      <c r="T289" s="6" t="s">
        <v>1998</v>
      </c>
      <c r="U289" s="6" t="s">
        <v>73</v>
      </c>
      <c r="V289" s="6" t="s">
        <v>1999</v>
      </c>
      <c r="W289" s="6" t="s">
        <v>75</v>
      </c>
    </row>
    <row r="290" customFormat="false" ht="15" hidden="false" customHeight="false" outlineLevel="0" collapsed="false">
      <c r="A290" s="6" t="s">
        <v>2000</v>
      </c>
      <c r="B290" s="6" t="s">
        <v>2001</v>
      </c>
      <c r="C290" s="6" t="s">
        <v>2002</v>
      </c>
      <c r="D290" s="6" t="s">
        <v>39</v>
      </c>
      <c r="E290" s="6" t="s">
        <v>40</v>
      </c>
      <c r="F290" s="6"/>
      <c r="G290" s="6" t="s">
        <v>41</v>
      </c>
      <c r="H290" s="6" t="s">
        <v>2003</v>
      </c>
      <c r="I290" s="7" t="n">
        <v>3500</v>
      </c>
      <c r="J290" s="7" t="n">
        <v>5600</v>
      </c>
      <c r="K290" s="6" t="n">
        <v>0</v>
      </c>
      <c r="L290" s="6" t="n">
        <v>4</v>
      </c>
      <c r="M290" s="6" t="s">
        <v>1409</v>
      </c>
      <c r="N290" s="6" t="s">
        <v>2004</v>
      </c>
      <c r="O290" s="8" t="b">
        <f aca="false">TRUE()</f>
        <v>1</v>
      </c>
      <c r="P290" s="6" t="s">
        <v>2005</v>
      </c>
      <c r="Q290" s="6" t="s">
        <v>1959</v>
      </c>
      <c r="R290" s="6" t="s">
        <v>1959</v>
      </c>
      <c r="S290" s="9" t="b">
        <f aca="false">FALSE()</f>
        <v>0</v>
      </c>
      <c r="T290" s="6"/>
      <c r="U290" s="6"/>
      <c r="V290" s="6"/>
      <c r="W290" s="6"/>
    </row>
    <row r="291" customFormat="false" ht="15" hidden="false" customHeight="false" outlineLevel="0" collapsed="false">
      <c r="A291" s="6" t="s">
        <v>2006</v>
      </c>
      <c r="B291" s="6" t="s">
        <v>2007</v>
      </c>
      <c r="C291" s="6" t="s">
        <v>2008</v>
      </c>
      <c r="D291" s="6" t="s">
        <v>39</v>
      </c>
      <c r="E291" s="6" t="s">
        <v>40</v>
      </c>
      <c r="F291" s="6"/>
      <c r="G291" s="6" t="s">
        <v>41</v>
      </c>
      <c r="H291" s="6" t="s">
        <v>1968</v>
      </c>
      <c r="I291" s="7" t="n">
        <v>3500</v>
      </c>
      <c r="J291" s="7" t="n">
        <v>5600</v>
      </c>
      <c r="K291" s="6" t="n">
        <v>0</v>
      </c>
      <c r="L291" s="6" t="n">
        <v>4</v>
      </c>
      <c r="M291" s="6" t="s">
        <v>1409</v>
      </c>
      <c r="N291" s="6" t="s">
        <v>2009</v>
      </c>
      <c r="O291" s="8" t="b">
        <f aca="false">TRUE()</f>
        <v>1</v>
      </c>
      <c r="P291" s="6" t="s">
        <v>2010</v>
      </c>
      <c r="Q291" s="6" t="s">
        <v>1959</v>
      </c>
      <c r="R291" s="6" t="s">
        <v>1959</v>
      </c>
      <c r="S291" s="9" t="b">
        <f aca="false">FALSE()</f>
        <v>0</v>
      </c>
      <c r="T291" s="6"/>
      <c r="U291" s="6"/>
      <c r="V291" s="6"/>
      <c r="W291" s="6"/>
    </row>
    <row r="292" customFormat="false" ht="15" hidden="false" customHeight="false" outlineLevel="0" collapsed="false">
      <c r="A292" s="6" t="s">
        <v>2011</v>
      </c>
      <c r="B292" s="6" t="s">
        <v>2012</v>
      </c>
      <c r="C292" s="6" t="s">
        <v>2013</v>
      </c>
      <c r="D292" s="6" t="s">
        <v>39</v>
      </c>
      <c r="E292" s="6" t="s">
        <v>40</v>
      </c>
      <c r="F292" s="6"/>
      <c r="G292" s="6" t="s">
        <v>41</v>
      </c>
      <c r="H292" s="6" t="s">
        <v>1956</v>
      </c>
      <c r="I292" s="7" t="n">
        <v>3500</v>
      </c>
      <c r="J292" s="7" t="n">
        <v>5600</v>
      </c>
      <c r="K292" s="6" t="n">
        <v>0</v>
      </c>
      <c r="L292" s="6" t="n">
        <v>4</v>
      </c>
      <c r="M292" s="6" t="s">
        <v>2014</v>
      </c>
      <c r="N292" s="6" t="s">
        <v>2015</v>
      </c>
      <c r="O292" s="8" t="b">
        <f aca="false">TRUE()</f>
        <v>1</v>
      </c>
      <c r="P292" s="6" t="s">
        <v>2016</v>
      </c>
      <c r="Q292" s="6" t="s">
        <v>1959</v>
      </c>
      <c r="R292" s="6" t="s">
        <v>1959</v>
      </c>
      <c r="S292" s="10" t="b">
        <f aca="false">TRUE()</f>
        <v>1</v>
      </c>
      <c r="T292" s="6" t="s">
        <v>2017</v>
      </c>
      <c r="U292" s="6" t="s">
        <v>73</v>
      </c>
      <c r="V292" s="6" t="s">
        <v>2018</v>
      </c>
      <c r="W292" s="6" t="s">
        <v>75</v>
      </c>
    </row>
    <row r="293" customFormat="false" ht="15" hidden="false" customHeight="false" outlineLevel="0" collapsed="false">
      <c r="A293" s="6" t="s">
        <v>2019</v>
      </c>
      <c r="B293" s="6" t="s">
        <v>2020</v>
      </c>
      <c r="C293" s="6" t="s">
        <v>2021</v>
      </c>
      <c r="D293" s="6" t="s">
        <v>39</v>
      </c>
      <c r="E293" s="6" t="s">
        <v>40</v>
      </c>
      <c r="F293" s="6"/>
      <c r="G293" s="6" t="s">
        <v>41</v>
      </c>
      <c r="H293" s="6" t="s">
        <v>1956</v>
      </c>
      <c r="I293" s="7" t="n">
        <v>3500</v>
      </c>
      <c r="J293" s="7" t="n">
        <v>5600</v>
      </c>
      <c r="K293" s="6" t="n">
        <v>0</v>
      </c>
      <c r="L293" s="6" t="n">
        <v>4</v>
      </c>
      <c r="M293" s="6" t="s">
        <v>1409</v>
      </c>
      <c r="N293" s="6" t="s">
        <v>2022</v>
      </c>
      <c r="O293" s="8" t="b">
        <f aca="false">TRUE()</f>
        <v>1</v>
      </c>
      <c r="P293" s="6" t="s">
        <v>2023</v>
      </c>
      <c r="Q293" s="6" t="s">
        <v>1959</v>
      </c>
      <c r="R293" s="6" t="s">
        <v>1959</v>
      </c>
      <c r="S293" s="9" t="b">
        <f aca="false">FALSE()</f>
        <v>0</v>
      </c>
      <c r="T293" s="6"/>
      <c r="U293" s="6"/>
      <c r="V293" s="6"/>
      <c r="W293" s="6"/>
    </row>
    <row r="294" customFormat="false" ht="15" hidden="false" customHeight="false" outlineLevel="0" collapsed="false">
      <c r="A294" s="6" t="s">
        <v>2024</v>
      </c>
      <c r="B294" s="6" t="s">
        <v>2025</v>
      </c>
      <c r="C294" s="6" t="s">
        <v>2026</v>
      </c>
      <c r="D294" s="6" t="s">
        <v>39</v>
      </c>
      <c r="E294" s="6" t="s">
        <v>40</v>
      </c>
      <c r="F294" s="6"/>
      <c r="G294" s="6"/>
      <c r="H294" s="6" t="s">
        <v>2027</v>
      </c>
      <c r="I294" s="7" t="n">
        <v>3500</v>
      </c>
      <c r="J294" s="7" t="n">
        <v>5000</v>
      </c>
      <c r="K294" s="6" t="n">
        <v>0</v>
      </c>
      <c r="L294" s="6" t="n">
        <v>2</v>
      </c>
      <c r="M294" s="6" t="s">
        <v>2028</v>
      </c>
      <c r="N294" s="6" t="s">
        <v>2029</v>
      </c>
      <c r="O294" s="8" t="b">
        <f aca="false">TRUE()</f>
        <v>1</v>
      </c>
      <c r="P294" s="6" t="s">
        <v>2030</v>
      </c>
      <c r="Q294" s="6" t="s">
        <v>1959</v>
      </c>
      <c r="R294" s="6" t="s">
        <v>1959</v>
      </c>
      <c r="S294" s="10" t="b">
        <f aca="false">TRUE()</f>
        <v>1</v>
      </c>
      <c r="T294" s="6" t="s">
        <v>2031</v>
      </c>
      <c r="U294" s="6" t="s">
        <v>108</v>
      </c>
      <c r="V294" s="6" t="s">
        <v>2032</v>
      </c>
      <c r="W294" s="6" t="s">
        <v>92</v>
      </c>
    </row>
    <row r="295" customFormat="false" ht="15" hidden="false" customHeight="false" outlineLevel="0" collapsed="false">
      <c r="A295" s="6" t="s">
        <v>2033</v>
      </c>
      <c r="B295" s="6" t="s">
        <v>2034</v>
      </c>
      <c r="C295" s="6" t="s">
        <v>2035</v>
      </c>
      <c r="D295" s="6" t="s">
        <v>39</v>
      </c>
      <c r="E295" s="6" t="s">
        <v>40</v>
      </c>
      <c r="F295" s="6"/>
      <c r="G295" s="6"/>
      <c r="H295" s="6" t="s">
        <v>2036</v>
      </c>
      <c r="I295" s="7" t="n">
        <v>3500</v>
      </c>
      <c r="J295" s="7" t="n">
        <v>5000</v>
      </c>
      <c r="K295" s="6" t="n">
        <v>0</v>
      </c>
      <c r="L295" s="6" t="n">
        <v>2</v>
      </c>
      <c r="M295" s="6" t="s">
        <v>2028</v>
      </c>
      <c r="N295" s="6" t="s">
        <v>2037</v>
      </c>
      <c r="O295" s="8" t="b">
        <f aca="false">TRUE()</f>
        <v>1</v>
      </c>
      <c r="P295" s="6" t="s">
        <v>2038</v>
      </c>
      <c r="Q295" s="6" t="s">
        <v>1959</v>
      </c>
      <c r="R295" s="6" t="s">
        <v>1959</v>
      </c>
      <c r="S295" s="10" t="b">
        <f aca="false">TRUE()</f>
        <v>1</v>
      </c>
      <c r="T295" s="6" t="s">
        <v>2039</v>
      </c>
      <c r="U295" s="6" t="s">
        <v>108</v>
      </c>
      <c r="V295" s="6" t="s">
        <v>2040</v>
      </c>
      <c r="W295" s="6" t="s">
        <v>92</v>
      </c>
    </row>
    <row r="296" customFormat="false" ht="15" hidden="false" customHeight="false" outlineLevel="0" collapsed="false">
      <c r="A296" s="6" t="s">
        <v>2041</v>
      </c>
      <c r="B296" s="6" t="s">
        <v>2042</v>
      </c>
      <c r="C296" s="6" t="s">
        <v>2043</v>
      </c>
      <c r="D296" s="6" t="s">
        <v>39</v>
      </c>
      <c r="E296" s="6" t="s">
        <v>40</v>
      </c>
      <c r="F296" s="6"/>
      <c r="G296" s="6"/>
      <c r="H296" s="6" t="s">
        <v>2027</v>
      </c>
      <c r="I296" s="7" t="n">
        <v>3500</v>
      </c>
      <c r="J296" s="7" t="n">
        <v>5000</v>
      </c>
      <c r="K296" s="6" t="n">
        <v>0</v>
      </c>
      <c r="L296" s="6" t="n">
        <v>2</v>
      </c>
      <c r="M296" s="6" t="s">
        <v>2028</v>
      </c>
      <c r="N296" s="6" t="s">
        <v>2044</v>
      </c>
      <c r="O296" s="8" t="b">
        <f aca="false">TRUE()</f>
        <v>1</v>
      </c>
      <c r="P296" s="6" t="s">
        <v>2045</v>
      </c>
      <c r="Q296" s="6" t="s">
        <v>1959</v>
      </c>
      <c r="R296" s="6" t="s">
        <v>1959</v>
      </c>
      <c r="S296" s="10" t="b">
        <f aca="false">TRUE()</f>
        <v>1</v>
      </c>
      <c r="T296" s="6" t="s">
        <v>2046</v>
      </c>
      <c r="U296" s="6" t="s">
        <v>108</v>
      </c>
      <c r="V296" s="6" t="s">
        <v>2047</v>
      </c>
      <c r="W296" s="6" t="s">
        <v>92</v>
      </c>
    </row>
    <row r="297" customFormat="false" ht="15" hidden="false" customHeight="false" outlineLevel="0" collapsed="false">
      <c r="A297" s="6" t="s">
        <v>2048</v>
      </c>
      <c r="B297" s="6" t="s">
        <v>2049</v>
      </c>
      <c r="C297" s="6" t="s">
        <v>2050</v>
      </c>
      <c r="D297" s="6" t="s">
        <v>39</v>
      </c>
      <c r="E297" s="6" t="s">
        <v>40</v>
      </c>
      <c r="F297" s="6"/>
      <c r="G297" s="6"/>
      <c r="H297" s="6" t="s">
        <v>2036</v>
      </c>
      <c r="I297" s="7" t="n">
        <v>3500</v>
      </c>
      <c r="J297" s="7" t="n">
        <v>5000</v>
      </c>
      <c r="K297" s="6" t="n">
        <v>0</v>
      </c>
      <c r="L297" s="6" t="n">
        <v>2</v>
      </c>
      <c r="M297" s="6" t="s">
        <v>2028</v>
      </c>
      <c r="N297" s="6" t="s">
        <v>2051</v>
      </c>
      <c r="O297" s="8" t="b">
        <f aca="false">TRUE()</f>
        <v>1</v>
      </c>
      <c r="P297" s="6" t="s">
        <v>2052</v>
      </c>
      <c r="Q297" s="6" t="s">
        <v>1959</v>
      </c>
      <c r="R297" s="6" t="s">
        <v>1959</v>
      </c>
      <c r="S297" s="10" t="b">
        <f aca="false">TRUE()</f>
        <v>1</v>
      </c>
      <c r="T297" s="6" t="s">
        <v>2053</v>
      </c>
      <c r="U297" s="6" t="s">
        <v>108</v>
      </c>
      <c r="V297" s="6" t="s">
        <v>2054</v>
      </c>
      <c r="W297" s="6" t="s">
        <v>92</v>
      </c>
    </row>
    <row r="298" customFormat="false" ht="15" hidden="false" customHeight="false" outlineLevel="0" collapsed="false">
      <c r="A298" s="6" t="s">
        <v>2055</v>
      </c>
      <c r="B298" s="6" t="s">
        <v>2056</v>
      </c>
      <c r="C298" s="6" t="s">
        <v>2057</v>
      </c>
      <c r="D298" s="6" t="s">
        <v>39</v>
      </c>
      <c r="E298" s="6" t="s">
        <v>40</v>
      </c>
      <c r="F298" s="6"/>
      <c r="G298" s="6"/>
      <c r="H298" s="6" t="s">
        <v>2036</v>
      </c>
      <c r="I298" s="7" t="n">
        <v>3500</v>
      </c>
      <c r="J298" s="7" t="n">
        <v>5000</v>
      </c>
      <c r="K298" s="6" t="n">
        <v>0</v>
      </c>
      <c r="L298" s="6" t="n">
        <v>2</v>
      </c>
      <c r="M298" s="6" t="s">
        <v>2028</v>
      </c>
      <c r="N298" s="6" t="s">
        <v>2058</v>
      </c>
      <c r="O298" s="8" t="b">
        <f aca="false">TRUE()</f>
        <v>1</v>
      </c>
      <c r="P298" s="6" t="s">
        <v>2059</v>
      </c>
      <c r="Q298" s="6" t="s">
        <v>1959</v>
      </c>
      <c r="R298" s="6" t="s">
        <v>1959</v>
      </c>
      <c r="S298" s="10" t="b">
        <f aca="false">TRUE()</f>
        <v>1</v>
      </c>
      <c r="T298" s="6" t="s">
        <v>2060</v>
      </c>
      <c r="U298" s="6" t="s">
        <v>108</v>
      </c>
      <c r="V298" s="6" t="s">
        <v>2061</v>
      </c>
      <c r="W298" s="6" t="s">
        <v>92</v>
      </c>
    </row>
    <row r="299" customFormat="false" ht="15" hidden="false" customHeight="false" outlineLevel="0" collapsed="false">
      <c r="A299" s="6" t="s">
        <v>2062</v>
      </c>
      <c r="B299" s="6" t="s">
        <v>2063</v>
      </c>
      <c r="C299" s="6" t="s">
        <v>2064</v>
      </c>
      <c r="D299" s="6" t="s">
        <v>39</v>
      </c>
      <c r="E299" s="6" t="s">
        <v>40</v>
      </c>
      <c r="F299" s="6"/>
      <c r="G299" s="6"/>
      <c r="H299" s="6" t="s">
        <v>222</v>
      </c>
      <c r="I299" s="7" t="n">
        <v>4999</v>
      </c>
      <c r="J299" s="7" t="n">
        <v>9999</v>
      </c>
      <c r="K299" s="6" t="n">
        <v>0</v>
      </c>
      <c r="L299" s="6" t="n">
        <v>3</v>
      </c>
      <c r="M299" s="6" t="s">
        <v>2065</v>
      </c>
      <c r="N299" s="6" t="s">
        <v>2066</v>
      </c>
      <c r="O299" s="8" t="b">
        <f aca="false">TRUE()</f>
        <v>1</v>
      </c>
      <c r="P299" s="6" t="s">
        <v>2067</v>
      </c>
      <c r="Q299" s="6" t="s">
        <v>1959</v>
      </c>
      <c r="R299" s="6" t="s">
        <v>1959</v>
      </c>
      <c r="S299" s="10" t="b">
        <f aca="false">TRUE()</f>
        <v>1</v>
      </c>
      <c r="T299" s="6" t="s">
        <v>2068</v>
      </c>
      <c r="U299" s="6" t="s">
        <v>108</v>
      </c>
      <c r="V299" s="6" t="s">
        <v>2069</v>
      </c>
      <c r="W299" s="6" t="s">
        <v>92</v>
      </c>
    </row>
    <row r="300" customFormat="false" ht="15" hidden="false" customHeight="false" outlineLevel="0" collapsed="false">
      <c r="A300" s="6" t="s">
        <v>2070</v>
      </c>
      <c r="B300" s="6" t="s">
        <v>2071</v>
      </c>
      <c r="C300" s="6" t="s">
        <v>2072</v>
      </c>
      <c r="D300" s="6" t="s">
        <v>39</v>
      </c>
      <c r="E300" s="6" t="s">
        <v>40</v>
      </c>
      <c r="F300" s="6"/>
      <c r="G300" s="6"/>
      <c r="H300" s="6" t="s">
        <v>2073</v>
      </c>
      <c r="I300" s="7" t="n">
        <v>5000</v>
      </c>
      <c r="J300" s="7" t="n">
        <v>5600</v>
      </c>
      <c r="K300" s="6" t="n">
        <v>0</v>
      </c>
      <c r="L300" s="6" t="n">
        <v>2</v>
      </c>
      <c r="M300" s="6" t="s">
        <v>157</v>
      </c>
      <c r="N300" s="6" t="s">
        <v>2074</v>
      </c>
      <c r="O300" s="8" t="b">
        <f aca="false">TRUE()</f>
        <v>1</v>
      </c>
      <c r="P300" s="6" t="s">
        <v>2075</v>
      </c>
      <c r="Q300" s="6" t="s">
        <v>1959</v>
      </c>
      <c r="R300" s="6" t="s">
        <v>1959</v>
      </c>
      <c r="S300" s="10" t="b">
        <f aca="false">TRUE()</f>
        <v>1</v>
      </c>
      <c r="T300" s="6" t="s">
        <v>2076</v>
      </c>
      <c r="U300" s="6" t="s">
        <v>108</v>
      </c>
      <c r="V300" s="6" t="s">
        <v>2077</v>
      </c>
      <c r="W300" s="6" t="s">
        <v>92</v>
      </c>
    </row>
    <row r="301" customFormat="false" ht="15" hidden="false" customHeight="false" outlineLevel="0" collapsed="false">
      <c r="A301" s="6" t="s">
        <v>2078</v>
      </c>
      <c r="B301" s="6" t="s">
        <v>2079</v>
      </c>
      <c r="C301" s="6" t="s">
        <v>2080</v>
      </c>
      <c r="D301" s="6" t="s">
        <v>39</v>
      </c>
      <c r="E301" s="6" t="s">
        <v>40</v>
      </c>
      <c r="F301" s="6"/>
      <c r="G301" s="6"/>
      <c r="H301" s="6" t="s">
        <v>2027</v>
      </c>
      <c r="I301" s="7" t="n">
        <v>5000</v>
      </c>
      <c r="J301" s="7" t="n">
        <v>5600</v>
      </c>
      <c r="K301" s="6" t="n">
        <v>0</v>
      </c>
      <c r="L301" s="6" t="n">
        <v>2</v>
      </c>
      <c r="M301" s="6" t="s">
        <v>2081</v>
      </c>
      <c r="N301" s="6" t="s">
        <v>2082</v>
      </c>
      <c r="O301" s="8" t="b">
        <f aca="false">TRUE()</f>
        <v>1</v>
      </c>
      <c r="P301" s="6" t="s">
        <v>2083</v>
      </c>
      <c r="Q301" s="6" t="s">
        <v>1959</v>
      </c>
      <c r="R301" s="6" t="s">
        <v>1959</v>
      </c>
      <c r="S301" s="10" t="b">
        <f aca="false">TRUE()</f>
        <v>1</v>
      </c>
      <c r="T301" s="6" t="s">
        <v>2084</v>
      </c>
      <c r="U301" s="6" t="s">
        <v>108</v>
      </c>
      <c r="V301" s="6" t="s">
        <v>2085</v>
      </c>
      <c r="W301" s="6" t="s">
        <v>92</v>
      </c>
    </row>
    <row r="302" customFormat="false" ht="15" hidden="false" customHeight="false" outlineLevel="0" collapsed="false">
      <c r="A302" s="6" t="s">
        <v>2086</v>
      </c>
      <c r="B302" s="6" t="s">
        <v>2087</v>
      </c>
      <c r="C302" s="6" t="s">
        <v>2088</v>
      </c>
      <c r="D302" s="6" t="s">
        <v>39</v>
      </c>
      <c r="E302" s="6" t="s">
        <v>40</v>
      </c>
      <c r="F302" s="6"/>
      <c r="G302" s="6"/>
      <c r="H302" s="6" t="s">
        <v>2036</v>
      </c>
      <c r="I302" s="7" t="n">
        <v>3999</v>
      </c>
      <c r="J302" s="7" t="n">
        <v>7999</v>
      </c>
      <c r="K302" s="6" t="n">
        <v>0</v>
      </c>
      <c r="L302" s="6" t="n">
        <v>3</v>
      </c>
      <c r="M302" s="6" t="s">
        <v>2089</v>
      </c>
      <c r="N302" s="6" t="s">
        <v>2090</v>
      </c>
      <c r="O302" s="8" t="b">
        <f aca="false">TRUE()</f>
        <v>1</v>
      </c>
      <c r="P302" s="6" t="s">
        <v>2091</v>
      </c>
      <c r="Q302" s="6" t="s">
        <v>1959</v>
      </c>
      <c r="R302" s="6" t="s">
        <v>1959</v>
      </c>
      <c r="S302" s="10" t="b">
        <f aca="false">TRUE()</f>
        <v>1</v>
      </c>
      <c r="T302" s="6" t="s">
        <v>2092</v>
      </c>
      <c r="U302" s="6" t="s">
        <v>108</v>
      </c>
      <c r="V302" s="6" t="s">
        <v>2093</v>
      </c>
      <c r="W302" s="6" t="s">
        <v>92</v>
      </c>
    </row>
    <row r="303" customFormat="false" ht="15" hidden="false" customHeight="false" outlineLevel="0" collapsed="false">
      <c r="A303" s="6" t="s">
        <v>2094</v>
      </c>
      <c r="B303" s="6" t="s">
        <v>2095</v>
      </c>
      <c r="C303" s="6" t="s">
        <v>2096</v>
      </c>
      <c r="D303" s="6" t="s">
        <v>39</v>
      </c>
      <c r="E303" s="6" t="s">
        <v>40</v>
      </c>
      <c r="F303" s="6"/>
      <c r="G303" s="6"/>
      <c r="H303" s="6" t="s">
        <v>2097</v>
      </c>
      <c r="I303" s="7" t="n">
        <v>2899</v>
      </c>
      <c r="J303" s="7" t="n">
        <v>3299</v>
      </c>
      <c r="K303" s="6" t="n">
        <v>0</v>
      </c>
      <c r="L303" s="6" t="n">
        <v>2</v>
      </c>
      <c r="M303" s="6" t="s">
        <v>2098</v>
      </c>
      <c r="N303" s="6" t="s">
        <v>2099</v>
      </c>
      <c r="O303" s="8" t="b">
        <f aca="false">TRUE()</f>
        <v>1</v>
      </c>
      <c r="P303" s="6" t="s">
        <v>2100</v>
      </c>
      <c r="Q303" s="6" t="s">
        <v>2101</v>
      </c>
      <c r="R303" s="6" t="s">
        <v>2101</v>
      </c>
      <c r="S303" s="9" t="b">
        <f aca="false">FALSE()</f>
        <v>0</v>
      </c>
      <c r="T303" s="6"/>
      <c r="U303" s="6"/>
      <c r="V303" s="6"/>
      <c r="W303" s="6"/>
    </row>
    <row r="304" customFormat="false" ht="15" hidden="false" customHeight="false" outlineLevel="0" collapsed="false">
      <c r="A304" s="6" t="s">
        <v>2102</v>
      </c>
      <c r="B304" s="6" t="s">
        <v>2103</v>
      </c>
      <c r="C304" s="6" t="s">
        <v>2104</v>
      </c>
      <c r="D304" s="6" t="s">
        <v>39</v>
      </c>
      <c r="E304" s="6" t="s">
        <v>40</v>
      </c>
      <c r="F304" s="6"/>
      <c r="G304" s="6"/>
      <c r="H304" s="6" t="s">
        <v>2097</v>
      </c>
      <c r="I304" s="7" t="n">
        <v>2799</v>
      </c>
      <c r="J304" s="7" t="n">
        <v>3699</v>
      </c>
      <c r="K304" s="6" t="n">
        <v>0</v>
      </c>
      <c r="L304" s="6" t="n">
        <v>2</v>
      </c>
      <c r="M304" s="6" t="s">
        <v>2105</v>
      </c>
      <c r="N304" s="6" t="s">
        <v>2106</v>
      </c>
      <c r="O304" s="8" t="b">
        <f aca="false">TRUE()</f>
        <v>1</v>
      </c>
      <c r="P304" s="6" t="s">
        <v>2107</v>
      </c>
      <c r="Q304" s="6" t="s">
        <v>2101</v>
      </c>
      <c r="R304" s="6" t="s">
        <v>2101</v>
      </c>
      <c r="S304" s="9" t="b">
        <f aca="false">FALSE()</f>
        <v>0</v>
      </c>
      <c r="T304" s="6"/>
      <c r="U304" s="6"/>
      <c r="V304" s="6"/>
      <c r="W304" s="6"/>
    </row>
    <row r="305" customFormat="false" ht="15" hidden="false" customHeight="false" outlineLevel="0" collapsed="false">
      <c r="A305" s="6" t="s">
        <v>1429</v>
      </c>
      <c r="B305" s="6" t="s">
        <v>2108</v>
      </c>
      <c r="C305" s="6" t="s">
        <v>2109</v>
      </c>
      <c r="D305" s="6" t="s">
        <v>39</v>
      </c>
      <c r="E305" s="6" t="s">
        <v>40</v>
      </c>
      <c r="F305" s="6"/>
      <c r="G305" s="6"/>
      <c r="H305" s="6" t="s">
        <v>2097</v>
      </c>
      <c r="I305" s="7" t="n">
        <v>2899</v>
      </c>
      <c r="J305" s="7" t="n">
        <v>3299</v>
      </c>
      <c r="K305" s="6" t="n">
        <v>0</v>
      </c>
      <c r="L305" s="6" t="n">
        <v>2</v>
      </c>
      <c r="M305" s="6" t="s">
        <v>2098</v>
      </c>
      <c r="N305" s="6" t="s">
        <v>2110</v>
      </c>
      <c r="O305" s="8" t="b">
        <f aca="false">TRUE()</f>
        <v>1</v>
      </c>
      <c r="P305" s="6" t="s">
        <v>2111</v>
      </c>
      <c r="Q305" s="6" t="s">
        <v>2101</v>
      </c>
      <c r="R305" s="6" t="s">
        <v>2101</v>
      </c>
      <c r="S305" s="9" t="b">
        <f aca="false">FALSE()</f>
        <v>0</v>
      </c>
      <c r="T305" s="6"/>
      <c r="U305" s="6"/>
      <c r="V305" s="6"/>
      <c r="W305" s="6"/>
    </row>
    <row r="306" customFormat="false" ht="15" hidden="false" customHeight="false" outlineLevel="0" collapsed="false">
      <c r="A306" s="6" t="s">
        <v>2112</v>
      </c>
      <c r="B306" s="6" t="s">
        <v>2113</v>
      </c>
      <c r="C306" s="6" t="s">
        <v>2114</v>
      </c>
      <c r="D306" s="6" t="s">
        <v>39</v>
      </c>
      <c r="E306" s="6" t="s">
        <v>40</v>
      </c>
      <c r="F306" s="6"/>
      <c r="G306" s="6"/>
      <c r="H306" s="6" t="s">
        <v>2097</v>
      </c>
      <c r="I306" s="7" t="n">
        <v>3499</v>
      </c>
      <c r="J306" s="7" t="n">
        <v>3499</v>
      </c>
      <c r="K306" s="6" t="n">
        <v>0</v>
      </c>
      <c r="L306" s="6" t="n">
        <v>1</v>
      </c>
      <c r="M306" s="6" t="s">
        <v>2115</v>
      </c>
      <c r="N306" s="6" t="s">
        <v>2116</v>
      </c>
      <c r="O306" s="8" t="b">
        <f aca="false">TRUE()</f>
        <v>1</v>
      </c>
      <c r="P306" s="6" t="s">
        <v>2117</v>
      </c>
      <c r="Q306" s="6" t="s">
        <v>2101</v>
      </c>
      <c r="R306" s="6" t="s">
        <v>2101</v>
      </c>
      <c r="S306" s="9" t="b">
        <f aca="false">FALSE()</f>
        <v>0</v>
      </c>
      <c r="T306" s="6"/>
      <c r="U306" s="6"/>
      <c r="V306" s="6"/>
      <c r="W306" s="6"/>
    </row>
    <row r="307" customFormat="false" ht="15" hidden="false" customHeight="false" outlineLevel="0" collapsed="false">
      <c r="A307" s="6" t="s">
        <v>2118</v>
      </c>
      <c r="B307" s="6" t="s">
        <v>2119</v>
      </c>
      <c r="C307" s="6" t="s">
        <v>2120</v>
      </c>
      <c r="D307" s="6" t="s">
        <v>39</v>
      </c>
      <c r="E307" s="6" t="s">
        <v>40</v>
      </c>
      <c r="F307" s="6"/>
      <c r="G307" s="6"/>
      <c r="H307" s="6" t="s">
        <v>2097</v>
      </c>
      <c r="I307" s="7" t="n">
        <v>3499</v>
      </c>
      <c r="J307" s="7" t="n">
        <v>3499</v>
      </c>
      <c r="K307" s="6" t="n">
        <v>0</v>
      </c>
      <c r="L307" s="6" t="n">
        <v>1</v>
      </c>
      <c r="M307" s="6" t="s">
        <v>2121</v>
      </c>
      <c r="N307" s="6" t="s">
        <v>2122</v>
      </c>
      <c r="O307" s="8" t="b">
        <f aca="false">TRUE()</f>
        <v>1</v>
      </c>
      <c r="P307" s="6" t="s">
        <v>2123</v>
      </c>
      <c r="Q307" s="6" t="s">
        <v>2101</v>
      </c>
      <c r="R307" s="6" t="s">
        <v>2101</v>
      </c>
      <c r="S307" s="9" t="b">
        <f aca="false">FALSE()</f>
        <v>0</v>
      </c>
      <c r="T307" s="6"/>
      <c r="U307" s="6"/>
      <c r="V307" s="6"/>
      <c r="W307" s="6"/>
    </row>
    <row r="308" customFormat="false" ht="15" hidden="false" customHeight="false" outlineLevel="0" collapsed="false">
      <c r="A308" s="6" t="s">
        <v>2124</v>
      </c>
      <c r="B308" s="6" t="s">
        <v>2125</v>
      </c>
      <c r="C308" s="6" t="s">
        <v>2126</v>
      </c>
      <c r="D308" s="6" t="s">
        <v>39</v>
      </c>
      <c r="E308" s="6" t="s">
        <v>40</v>
      </c>
      <c r="F308" s="6"/>
      <c r="G308" s="6"/>
      <c r="H308" s="6" t="s">
        <v>2097</v>
      </c>
      <c r="I308" s="7" t="n">
        <v>2799</v>
      </c>
      <c r="J308" s="7" t="n">
        <v>3799</v>
      </c>
      <c r="K308" s="6" t="n">
        <v>0</v>
      </c>
      <c r="L308" s="6" t="n">
        <v>2</v>
      </c>
      <c r="M308" s="6" t="s">
        <v>2127</v>
      </c>
      <c r="N308" s="6" t="s">
        <v>2128</v>
      </c>
      <c r="O308" s="8" t="b">
        <f aca="false">TRUE()</f>
        <v>1</v>
      </c>
      <c r="P308" s="6" t="s">
        <v>2129</v>
      </c>
      <c r="Q308" s="6" t="s">
        <v>2101</v>
      </c>
      <c r="R308" s="6" t="s">
        <v>2101</v>
      </c>
      <c r="S308" s="9" t="b">
        <f aca="false">FALSE()</f>
        <v>0</v>
      </c>
      <c r="T308" s="6"/>
      <c r="U308" s="6"/>
      <c r="V308" s="6"/>
      <c r="W308" s="6"/>
    </row>
    <row r="309" customFormat="false" ht="15" hidden="false" customHeight="false" outlineLevel="0" collapsed="false">
      <c r="A309" s="6" t="s">
        <v>2130</v>
      </c>
      <c r="B309" s="6" t="s">
        <v>2131</v>
      </c>
      <c r="C309" s="6" t="s">
        <v>2132</v>
      </c>
      <c r="D309" s="6" t="s">
        <v>39</v>
      </c>
      <c r="E309" s="6" t="s">
        <v>40</v>
      </c>
      <c r="F309" s="6"/>
      <c r="G309" s="6"/>
      <c r="H309" s="6" t="s">
        <v>2097</v>
      </c>
      <c r="I309" s="7" t="n">
        <v>2999</v>
      </c>
      <c r="J309" s="7" t="n">
        <v>3499</v>
      </c>
      <c r="K309" s="6" t="n">
        <v>0</v>
      </c>
      <c r="L309" s="6" t="n">
        <v>2</v>
      </c>
      <c r="M309" s="6" t="s">
        <v>2133</v>
      </c>
      <c r="N309" s="6" t="s">
        <v>2134</v>
      </c>
      <c r="O309" s="8" t="b">
        <f aca="false">TRUE()</f>
        <v>1</v>
      </c>
      <c r="P309" s="6" t="s">
        <v>2135</v>
      </c>
      <c r="Q309" s="6" t="s">
        <v>2101</v>
      </c>
      <c r="R309" s="6" t="s">
        <v>2101</v>
      </c>
      <c r="S309" s="9" t="b">
        <f aca="false">FALSE()</f>
        <v>0</v>
      </c>
      <c r="T309" s="6"/>
      <c r="U309" s="6"/>
      <c r="V309" s="6"/>
      <c r="W309" s="6"/>
    </row>
    <row r="310" customFormat="false" ht="15" hidden="false" customHeight="false" outlineLevel="0" collapsed="false">
      <c r="A310" s="6" t="s">
        <v>2136</v>
      </c>
      <c r="B310" s="6" t="s">
        <v>2137</v>
      </c>
      <c r="C310" s="6" t="s">
        <v>2138</v>
      </c>
      <c r="D310" s="6" t="s">
        <v>39</v>
      </c>
      <c r="E310" s="6" t="s">
        <v>40</v>
      </c>
      <c r="F310" s="6"/>
      <c r="G310" s="6"/>
      <c r="H310" s="6" t="s">
        <v>2097</v>
      </c>
      <c r="I310" s="7" t="n">
        <v>3799</v>
      </c>
      <c r="J310" s="7" t="n">
        <v>5600</v>
      </c>
      <c r="K310" s="6" t="n">
        <v>0</v>
      </c>
      <c r="L310" s="6" t="n">
        <v>2</v>
      </c>
      <c r="M310" s="6" t="s">
        <v>2139</v>
      </c>
      <c r="N310" s="6" t="s">
        <v>2140</v>
      </c>
      <c r="O310" s="8" t="b">
        <f aca="false">TRUE()</f>
        <v>1</v>
      </c>
      <c r="P310" s="6" t="s">
        <v>2141</v>
      </c>
      <c r="Q310" s="6" t="s">
        <v>2101</v>
      </c>
      <c r="R310" s="6" t="s">
        <v>2101</v>
      </c>
      <c r="S310" s="9" t="b">
        <f aca="false">FALSE()</f>
        <v>0</v>
      </c>
      <c r="T310" s="6"/>
      <c r="U310" s="6"/>
      <c r="V310" s="6"/>
      <c r="W310" s="6"/>
    </row>
    <row r="311" customFormat="false" ht="15" hidden="false" customHeight="false" outlineLevel="0" collapsed="false">
      <c r="A311" s="6" t="s">
        <v>2142</v>
      </c>
      <c r="B311" s="6" t="s">
        <v>2143</v>
      </c>
      <c r="C311" s="6" t="s">
        <v>2144</v>
      </c>
      <c r="D311" s="6" t="s">
        <v>39</v>
      </c>
      <c r="E311" s="6" t="s">
        <v>40</v>
      </c>
      <c r="F311" s="6"/>
      <c r="G311" s="6" t="s">
        <v>41</v>
      </c>
      <c r="H311" s="6" t="s">
        <v>2145</v>
      </c>
      <c r="I311" s="7" t="n">
        <v>3500</v>
      </c>
      <c r="J311" s="7" t="n">
        <v>5600</v>
      </c>
      <c r="K311" s="6" t="n">
        <v>0</v>
      </c>
      <c r="L311" s="6" t="n">
        <v>4</v>
      </c>
      <c r="M311" s="6" t="s">
        <v>1409</v>
      </c>
      <c r="N311" s="6" t="s">
        <v>2146</v>
      </c>
      <c r="O311" s="8" t="b">
        <f aca="false">TRUE()</f>
        <v>1</v>
      </c>
      <c r="P311" s="6" t="s">
        <v>2147</v>
      </c>
      <c r="Q311" s="6" t="s">
        <v>2101</v>
      </c>
      <c r="R311" s="6" t="s">
        <v>2101</v>
      </c>
      <c r="S311" s="9" t="b">
        <f aca="false">FALSE()</f>
        <v>0</v>
      </c>
      <c r="T311" s="6"/>
      <c r="U311" s="6"/>
      <c r="V311" s="6"/>
      <c r="W311" s="6"/>
    </row>
    <row r="312" customFormat="false" ht="15" hidden="false" customHeight="false" outlineLevel="0" collapsed="false">
      <c r="A312" s="6" t="s">
        <v>2148</v>
      </c>
      <c r="B312" s="6" t="s">
        <v>2149</v>
      </c>
      <c r="C312" s="6" t="s">
        <v>2150</v>
      </c>
      <c r="D312" s="6" t="s">
        <v>39</v>
      </c>
      <c r="E312" s="6" t="s">
        <v>40</v>
      </c>
      <c r="F312" s="6"/>
      <c r="G312" s="6" t="s">
        <v>41</v>
      </c>
      <c r="H312" s="6" t="s">
        <v>2145</v>
      </c>
      <c r="I312" s="7" t="n">
        <v>3500</v>
      </c>
      <c r="J312" s="7" t="n">
        <v>5600</v>
      </c>
      <c r="K312" s="6" t="n">
        <v>0</v>
      </c>
      <c r="L312" s="6" t="n">
        <v>4</v>
      </c>
      <c r="M312" s="6" t="s">
        <v>1409</v>
      </c>
      <c r="N312" s="6" t="s">
        <v>2151</v>
      </c>
      <c r="O312" s="8" t="b">
        <f aca="false">TRUE()</f>
        <v>1</v>
      </c>
      <c r="P312" s="6" t="s">
        <v>2152</v>
      </c>
      <c r="Q312" s="6" t="s">
        <v>2101</v>
      </c>
      <c r="R312" s="6" t="s">
        <v>2101</v>
      </c>
      <c r="S312" s="9" t="b">
        <f aca="false">FALSE()</f>
        <v>0</v>
      </c>
      <c r="T312" s="6"/>
      <c r="U312" s="6"/>
      <c r="V312" s="6"/>
      <c r="W312" s="6"/>
    </row>
    <row r="313" customFormat="false" ht="15" hidden="false" customHeight="false" outlineLevel="0" collapsed="false">
      <c r="A313" s="6" t="s">
        <v>2153</v>
      </c>
      <c r="B313" s="6" t="s">
        <v>2154</v>
      </c>
      <c r="C313" s="6" t="s">
        <v>2155</v>
      </c>
      <c r="D313" s="6" t="s">
        <v>39</v>
      </c>
      <c r="E313" s="6" t="s">
        <v>40</v>
      </c>
      <c r="F313" s="6"/>
      <c r="G313" s="6" t="s">
        <v>41</v>
      </c>
      <c r="H313" s="6" t="s">
        <v>2145</v>
      </c>
      <c r="I313" s="7" t="n">
        <v>3500</v>
      </c>
      <c r="J313" s="7" t="n">
        <v>5600</v>
      </c>
      <c r="K313" s="6" t="n">
        <v>0</v>
      </c>
      <c r="L313" s="6" t="n">
        <v>4</v>
      </c>
      <c r="M313" s="6" t="s">
        <v>1409</v>
      </c>
      <c r="N313" s="6" t="s">
        <v>2156</v>
      </c>
      <c r="O313" s="8" t="b">
        <f aca="false">TRUE()</f>
        <v>1</v>
      </c>
      <c r="P313" s="6" t="s">
        <v>2157</v>
      </c>
      <c r="Q313" s="6" t="s">
        <v>2101</v>
      </c>
      <c r="R313" s="6" t="s">
        <v>2101</v>
      </c>
      <c r="S313" s="9" t="b">
        <f aca="false">FALSE()</f>
        <v>0</v>
      </c>
      <c r="T313" s="6"/>
      <c r="U313" s="6"/>
      <c r="V313" s="6"/>
      <c r="W313" s="6"/>
    </row>
    <row r="314" customFormat="false" ht="15" hidden="false" customHeight="false" outlineLevel="0" collapsed="false">
      <c r="A314" s="6" t="s">
        <v>2158</v>
      </c>
      <c r="B314" s="6" t="s">
        <v>2159</v>
      </c>
      <c r="C314" s="6" t="s">
        <v>2160</v>
      </c>
      <c r="D314" s="6" t="s">
        <v>39</v>
      </c>
      <c r="E314" s="6" t="s">
        <v>40</v>
      </c>
      <c r="F314" s="6"/>
      <c r="G314" s="6"/>
      <c r="H314" s="6" t="s">
        <v>2097</v>
      </c>
      <c r="I314" s="7" t="n">
        <v>2999</v>
      </c>
      <c r="J314" s="7" t="n">
        <v>3499</v>
      </c>
      <c r="K314" s="6" t="n">
        <v>0</v>
      </c>
      <c r="L314" s="6" t="n">
        <v>2</v>
      </c>
      <c r="M314" s="6" t="s">
        <v>2161</v>
      </c>
      <c r="N314" s="6" t="s">
        <v>2162</v>
      </c>
      <c r="O314" s="8" t="b">
        <f aca="false">TRUE()</f>
        <v>1</v>
      </c>
      <c r="P314" s="6" t="s">
        <v>2163</v>
      </c>
      <c r="Q314" s="6" t="s">
        <v>2101</v>
      </c>
      <c r="R314" s="6" t="s">
        <v>2101</v>
      </c>
      <c r="S314" s="9" t="b">
        <f aca="false">FALSE()</f>
        <v>0</v>
      </c>
      <c r="T314" s="6"/>
      <c r="U314" s="6"/>
      <c r="V314" s="6"/>
      <c r="W314" s="6"/>
    </row>
    <row r="315" customFormat="false" ht="15" hidden="false" customHeight="false" outlineLevel="0" collapsed="false">
      <c r="A315" s="6" t="s">
        <v>2164</v>
      </c>
      <c r="B315" s="6" t="s">
        <v>2165</v>
      </c>
      <c r="C315" s="6" t="s">
        <v>2166</v>
      </c>
      <c r="D315" s="6" t="s">
        <v>39</v>
      </c>
      <c r="E315" s="6" t="s">
        <v>40</v>
      </c>
      <c r="F315" s="6"/>
      <c r="G315" s="6" t="s">
        <v>41</v>
      </c>
      <c r="H315" s="6" t="s">
        <v>2167</v>
      </c>
      <c r="I315" s="7" t="n">
        <v>3500</v>
      </c>
      <c r="J315" s="7" t="n">
        <v>5600</v>
      </c>
      <c r="K315" s="6" t="n">
        <v>0</v>
      </c>
      <c r="L315" s="6" t="n">
        <v>4</v>
      </c>
      <c r="M315" s="6" t="s">
        <v>1409</v>
      </c>
      <c r="N315" s="6" t="s">
        <v>2168</v>
      </c>
      <c r="O315" s="8" t="b">
        <f aca="false">TRUE()</f>
        <v>1</v>
      </c>
      <c r="P315" s="6" t="s">
        <v>2169</v>
      </c>
      <c r="Q315" s="6" t="s">
        <v>2170</v>
      </c>
      <c r="R315" s="6" t="s">
        <v>2170</v>
      </c>
      <c r="S315" s="9" t="b">
        <f aca="false">FALSE()</f>
        <v>0</v>
      </c>
      <c r="T315" s="6"/>
      <c r="U315" s="6"/>
      <c r="V315" s="6"/>
      <c r="W315" s="6"/>
    </row>
    <row r="316" customFormat="false" ht="15" hidden="false" customHeight="false" outlineLevel="0" collapsed="false">
      <c r="A316" s="6" t="s">
        <v>2171</v>
      </c>
      <c r="B316" s="6" t="s">
        <v>2172</v>
      </c>
      <c r="C316" s="6" t="s">
        <v>2173</v>
      </c>
      <c r="D316" s="6" t="s">
        <v>39</v>
      </c>
      <c r="E316" s="6" t="s">
        <v>40</v>
      </c>
      <c r="F316" s="6"/>
      <c r="G316" s="6" t="s">
        <v>41</v>
      </c>
      <c r="H316" s="6" t="s">
        <v>1306</v>
      </c>
      <c r="I316" s="7" t="n">
        <v>3500</v>
      </c>
      <c r="J316" s="7" t="n">
        <v>5600</v>
      </c>
      <c r="K316" s="6" t="n">
        <v>0</v>
      </c>
      <c r="L316" s="6" t="n">
        <v>4</v>
      </c>
      <c r="M316" s="6" t="s">
        <v>1409</v>
      </c>
      <c r="N316" s="6" t="s">
        <v>2174</v>
      </c>
      <c r="O316" s="8" t="b">
        <f aca="false">TRUE()</f>
        <v>1</v>
      </c>
      <c r="P316" s="6" t="s">
        <v>2175</v>
      </c>
      <c r="Q316" s="6" t="s">
        <v>2170</v>
      </c>
      <c r="R316" s="6" t="s">
        <v>2170</v>
      </c>
      <c r="S316" s="9" t="b">
        <f aca="false">FALSE()</f>
        <v>0</v>
      </c>
      <c r="T316" s="6"/>
      <c r="U316" s="6"/>
      <c r="V316" s="6"/>
      <c r="W316" s="6"/>
    </row>
    <row r="317" customFormat="false" ht="15" hidden="false" customHeight="false" outlineLevel="0" collapsed="false">
      <c r="A317" s="6" t="s">
        <v>2176</v>
      </c>
      <c r="B317" s="6" t="s">
        <v>2177</v>
      </c>
      <c r="C317" s="6" t="s">
        <v>2178</v>
      </c>
      <c r="D317" s="6" t="s">
        <v>39</v>
      </c>
      <c r="E317" s="6" t="s">
        <v>40</v>
      </c>
      <c r="F317" s="6"/>
      <c r="G317" s="6" t="s">
        <v>41</v>
      </c>
      <c r="H317" s="6" t="s">
        <v>1306</v>
      </c>
      <c r="I317" s="7" t="n">
        <v>3500</v>
      </c>
      <c r="J317" s="7" t="n">
        <v>5600</v>
      </c>
      <c r="K317" s="6" t="n">
        <v>0</v>
      </c>
      <c r="L317" s="6" t="n">
        <v>4</v>
      </c>
      <c r="M317" s="6" t="s">
        <v>1409</v>
      </c>
      <c r="N317" s="6" t="s">
        <v>2179</v>
      </c>
      <c r="O317" s="8" t="b">
        <f aca="false">TRUE()</f>
        <v>1</v>
      </c>
      <c r="P317" s="6" t="s">
        <v>2180</v>
      </c>
      <c r="Q317" s="6" t="s">
        <v>2170</v>
      </c>
      <c r="R317" s="6" t="s">
        <v>2170</v>
      </c>
      <c r="S317" s="9" t="b">
        <f aca="false">FALSE()</f>
        <v>0</v>
      </c>
      <c r="T317" s="6"/>
      <c r="U317" s="6"/>
      <c r="V317" s="6"/>
      <c r="W317" s="6"/>
    </row>
    <row r="318" customFormat="false" ht="15" hidden="false" customHeight="false" outlineLevel="0" collapsed="false">
      <c r="A318" s="6" t="s">
        <v>2181</v>
      </c>
      <c r="B318" s="6" t="s">
        <v>2182</v>
      </c>
      <c r="C318" s="6" t="s">
        <v>2183</v>
      </c>
      <c r="D318" s="6" t="s">
        <v>39</v>
      </c>
      <c r="E318" s="6" t="s">
        <v>40</v>
      </c>
      <c r="F318" s="6"/>
      <c r="G318" s="6"/>
      <c r="H318" s="6" t="s">
        <v>1217</v>
      </c>
      <c r="I318" s="7" t="n">
        <v>4200</v>
      </c>
      <c r="J318" s="7" t="n">
        <v>5600</v>
      </c>
      <c r="K318" s="6" t="n">
        <v>0</v>
      </c>
      <c r="L318" s="6" t="n">
        <v>4</v>
      </c>
      <c r="M318" s="6" t="s">
        <v>2184</v>
      </c>
      <c r="N318" s="6" t="s">
        <v>2185</v>
      </c>
      <c r="O318" s="8" t="b">
        <f aca="false">TRUE()</f>
        <v>1</v>
      </c>
      <c r="P318" s="6" t="s">
        <v>2186</v>
      </c>
      <c r="Q318" s="6" t="s">
        <v>2187</v>
      </c>
      <c r="R318" s="6" t="s">
        <v>2187</v>
      </c>
      <c r="S318" s="9" t="b">
        <f aca="false">FALSE()</f>
        <v>0</v>
      </c>
      <c r="T318" s="6"/>
      <c r="U318" s="6"/>
      <c r="V318" s="6"/>
      <c r="W318" s="6"/>
    </row>
    <row r="319" customFormat="false" ht="15" hidden="false" customHeight="false" outlineLevel="0" collapsed="false">
      <c r="A319" s="6" t="s">
        <v>2188</v>
      </c>
      <c r="B319" s="6" t="s">
        <v>2189</v>
      </c>
      <c r="C319" s="6" t="s">
        <v>2190</v>
      </c>
      <c r="D319" s="6" t="s">
        <v>39</v>
      </c>
      <c r="E319" s="6" t="s">
        <v>40</v>
      </c>
      <c r="F319" s="6"/>
      <c r="G319" s="6"/>
      <c r="H319" s="6" t="s">
        <v>1217</v>
      </c>
      <c r="I319" s="7" t="n">
        <v>1499</v>
      </c>
      <c r="J319" s="7" t="n">
        <v>4999</v>
      </c>
      <c r="K319" s="6" t="n">
        <v>0</v>
      </c>
      <c r="L319" s="6" t="n">
        <v>4</v>
      </c>
      <c r="M319" s="6" t="s">
        <v>2191</v>
      </c>
      <c r="N319" s="6" t="s">
        <v>2192</v>
      </c>
      <c r="O319" s="8" t="b">
        <f aca="false">TRUE()</f>
        <v>1</v>
      </c>
      <c r="P319" s="6" t="s">
        <v>2193</v>
      </c>
      <c r="Q319" s="6" t="s">
        <v>2187</v>
      </c>
      <c r="R319" s="6" t="s">
        <v>2187</v>
      </c>
      <c r="S319" s="9" t="b">
        <f aca="false">FALSE()</f>
        <v>0</v>
      </c>
      <c r="T319" s="6"/>
      <c r="U319" s="6"/>
      <c r="V319" s="6"/>
      <c r="W319" s="6"/>
    </row>
    <row r="320" customFormat="false" ht="15" hidden="false" customHeight="false" outlineLevel="0" collapsed="false">
      <c r="A320" s="6" t="s">
        <v>2194</v>
      </c>
      <c r="B320" s="6" t="s">
        <v>2195</v>
      </c>
      <c r="C320" s="6" t="s">
        <v>2196</v>
      </c>
      <c r="D320" s="6" t="s">
        <v>39</v>
      </c>
      <c r="E320" s="6" t="s">
        <v>40</v>
      </c>
      <c r="F320" s="6"/>
      <c r="G320" s="6"/>
      <c r="H320" s="6" t="s">
        <v>1217</v>
      </c>
      <c r="I320" s="7" t="n">
        <v>1599</v>
      </c>
      <c r="J320" s="7" t="n">
        <v>5600</v>
      </c>
      <c r="K320" s="6" t="n">
        <v>0</v>
      </c>
      <c r="L320" s="6" t="n">
        <v>3</v>
      </c>
      <c r="M320" s="6" t="s">
        <v>2197</v>
      </c>
      <c r="N320" s="6" t="s">
        <v>2198</v>
      </c>
      <c r="O320" s="8" t="b">
        <f aca="false">TRUE()</f>
        <v>1</v>
      </c>
      <c r="P320" s="6" t="s">
        <v>2199</v>
      </c>
      <c r="Q320" s="6" t="s">
        <v>2187</v>
      </c>
      <c r="R320" s="6" t="s">
        <v>2187</v>
      </c>
      <c r="S320" s="9" t="b">
        <f aca="false">FALSE()</f>
        <v>0</v>
      </c>
      <c r="T320" s="6"/>
      <c r="U320" s="6"/>
      <c r="V320" s="6"/>
      <c r="W320" s="6"/>
    </row>
    <row r="321" customFormat="false" ht="15" hidden="false" customHeight="false" outlineLevel="0" collapsed="false">
      <c r="A321" s="6" t="s">
        <v>2200</v>
      </c>
      <c r="B321" s="6" t="s">
        <v>2201</v>
      </c>
      <c r="C321" s="6" t="s">
        <v>2202</v>
      </c>
      <c r="D321" s="6" t="s">
        <v>39</v>
      </c>
      <c r="E321" s="6" t="s">
        <v>40</v>
      </c>
      <c r="F321" s="6" t="s">
        <v>2203</v>
      </c>
      <c r="G321" s="6" t="s">
        <v>2204</v>
      </c>
      <c r="H321" s="6" t="s">
        <v>1803</v>
      </c>
      <c r="I321" s="7" t="n">
        <v>3500</v>
      </c>
      <c r="J321" s="7" t="n">
        <v>5600</v>
      </c>
      <c r="K321" s="6" t="n">
        <v>0</v>
      </c>
      <c r="L321" s="6" t="n">
        <v>4</v>
      </c>
      <c r="M321" s="6" t="s">
        <v>51</v>
      </c>
      <c r="N321" s="6" t="s">
        <v>2205</v>
      </c>
      <c r="O321" s="8" t="b">
        <f aca="false">TRUE()</f>
        <v>1</v>
      </c>
      <c r="P321" s="6" t="s">
        <v>2206</v>
      </c>
      <c r="Q321" s="6" t="s">
        <v>2207</v>
      </c>
      <c r="R321" s="6" t="s">
        <v>2207</v>
      </c>
      <c r="S321" s="9" t="b">
        <f aca="false">FALSE()</f>
        <v>0</v>
      </c>
      <c r="T321" s="6"/>
      <c r="U321" s="6"/>
      <c r="V321" s="6"/>
      <c r="W321" s="6"/>
    </row>
    <row r="322" customFormat="false" ht="15" hidden="false" customHeight="false" outlineLevel="0" collapsed="false">
      <c r="A322" s="6" t="s">
        <v>2208</v>
      </c>
      <c r="B322" s="6" t="s">
        <v>2209</v>
      </c>
      <c r="C322" s="6" t="s">
        <v>2210</v>
      </c>
      <c r="D322" s="6" t="s">
        <v>39</v>
      </c>
      <c r="E322" s="6" t="s">
        <v>40</v>
      </c>
      <c r="F322" s="6" t="s">
        <v>2203</v>
      </c>
      <c r="G322" s="6" t="s">
        <v>2204</v>
      </c>
      <c r="H322" s="6" t="s">
        <v>1803</v>
      </c>
      <c r="I322" s="7" t="n">
        <v>3500</v>
      </c>
      <c r="J322" s="7" t="n">
        <v>5600</v>
      </c>
      <c r="K322" s="6" t="n">
        <v>0</v>
      </c>
      <c r="L322" s="6" t="n">
        <v>4</v>
      </c>
      <c r="M322" s="6" t="s">
        <v>51</v>
      </c>
      <c r="N322" s="6" t="s">
        <v>2211</v>
      </c>
      <c r="O322" s="8" t="b">
        <f aca="false">TRUE()</f>
        <v>1</v>
      </c>
      <c r="P322" s="6" t="s">
        <v>2212</v>
      </c>
      <c r="Q322" s="6" t="s">
        <v>2207</v>
      </c>
      <c r="R322" s="6" t="s">
        <v>2207</v>
      </c>
      <c r="S322" s="9" t="b">
        <f aca="false">FALSE()</f>
        <v>0</v>
      </c>
      <c r="T322" s="6"/>
      <c r="U322" s="6"/>
      <c r="V322" s="6"/>
      <c r="W322" s="6"/>
    </row>
    <row r="323" customFormat="false" ht="15" hidden="false" customHeight="false" outlineLevel="0" collapsed="false">
      <c r="A323" s="6" t="s">
        <v>2213</v>
      </c>
      <c r="B323" s="6" t="s">
        <v>2214</v>
      </c>
      <c r="C323" s="6" t="s">
        <v>2215</v>
      </c>
      <c r="D323" s="6" t="s">
        <v>39</v>
      </c>
      <c r="E323" s="6" t="s">
        <v>40</v>
      </c>
      <c r="F323" s="6" t="s">
        <v>2203</v>
      </c>
      <c r="G323" s="6" t="s">
        <v>2204</v>
      </c>
      <c r="H323" s="6" t="s">
        <v>1803</v>
      </c>
      <c r="I323" s="7" t="n">
        <v>3500</v>
      </c>
      <c r="J323" s="7" t="n">
        <v>5600</v>
      </c>
      <c r="K323" s="6" t="n">
        <v>0</v>
      </c>
      <c r="L323" s="6" t="n">
        <v>4</v>
      </c>
      <c r="M323" s="6" t="s">
        <v>51</v>
      </c>
      <c r="N323" s="6" t="s">
        <v>2216</v>
      </c>
      <c r="O323" s="8" t="b">
        <f aca="false">TRUE()</f>
        <v>1</v>
      </c>
      <c r="P323" s="6" t="s">
        <v>2217</v>
      </c>
      <c r="Q323" s="6" t="s">
        <v>2207</v>
      </c>
      <c r="R323" s="6" t="s">
        <v>2207</v>
      </c>
      <c r="S323" s="9" t="b">
        <f aca="false">FALSE()</f>
        <v>0</v>
      </c>
      <c r="T323" s="6"/>
      <c r="U323" s="6"/>
      <c r="V323" s="6"/>
      <c r="W323" s="6"/>
    </row>
    <row r="324" customFormat="false" ht="15" hidden="false" customHeight="false" outlineLevel="0" collapsed="false">
      <c r="A324" s="6" t="s">
        <v>2218</v>
      </c>
      <c r="B324" s="6" t="s">
        <v>2219</v>
      </c>
      <c r="C324" s="6" t="s">
        <v>2220</v>
      </c>
      <c r="D324" s="6" t="s">
        <v>39</v>
      </c>
      <c r="E324" s="6" t="s">
        <v>40</v>
      </c>
      <c r="F324" s="6" t="s">
        <v>2203</v>
      </c>
      <c r="G324" s="6" t="s">
        <v>2204</v>
      </c>
      <c r="H324" s="6" t="s">
        <v>1803</v>
      </c>
      <c r="I324" s="7" t="n">
        <v>3500</v>
      </c>
      <c r="J324" s="7" t="n">
        <v>5600</v>
      </c>
      <c r="K324" s="6" t="n">
        <v>0</v>
      </c>
      <c r="L324" s="6" t="n">
        <v>4</v>
      </c>
      <c r="M324" s="6" t="s">
        <v>51</v>
      </c>
      <c r="N324" s="6" t="s">
        <v>2221</v>
      </c>
      <c r="O324" s="8" t="b">
        <f aca="false">TRUE()</f>
        <v>1</v>
      </c>
      <c r="P324" s="6" t="s">
        <v>2222</v>
      </c>
      <c r="Q324" s="6" t="s">
        <v>2207</v>
      </c>
      <c r="R324" s="6" t="s">
        <v>2207</v>
      </c>
      <c r="S324" s="9" t="b">
        <f aca="false">FALSE()</f>
        <v>0</v>
      </c>
      <c r="T324" s="6"/>
      <c r="U324" s="6"/>
      <c r="V324" s="6"/>
      <c r="W324" s="6"/>
    </row>
    <row r="325" customFormat="false" ht="15" hidden="false" customHeight="false" outlineLevel="0" collapsed="false">
      <c r="A325" s="6" t="s">
        <v>2223</v>
      </c>
      <c r="B325" s="6" t="s">
        <v>2224</v>
      </c>
      <c r="C325" s="6" t="s">
        <v>2225</v>
      </c>
      <c r="D325" s="6" t="s">
        <v>39</v>
      </c>
      <c r="E325" s="6" t="s">
        <v>40</v>
      </c>
      <c r="F325" s="6" t="s">
        <v>2203</v>
      </c>
      <c r="G325" s="6" t="s">
        <v>2204</v>
      </c>
      <c r="H325" s="6" t="s">
        <v>1803</v>
      </c>
      <c r="I325" s="7" t="n">
        <v>3500</v>
      </c>
      <c r="J325" s="7" t="n">
        <v>5600</v>
      </c>
      <c r="K325" s="6" t="n">
        <v>0</v>
      </c>
      <c r="L325" s="6" t="n">
        <v>4</v>
      </c>
      <c r="M325" s="6" t="s">
        <v>51</v>
      </c>
      <c r="N325" s="6" t="s">
        <v>2226</v>
      </c>
      <c r="O325" s="8" t="b">
        <f aca="false">TRUE()</f>
        <v>1</v>
      </c>
      <c r="P325" s="6" t="s">
        <v>2227</v>
      </c>
      <c r="Q325" s="6" t="s">
        <v>2207</v>
      </c>
      <c r="R325" s="6" t="s">
        <v>2207</v>
      </c>
      <c r="S325" s="9" t="b">
        <f aca="false">FALSE()</f>
        <v>0</v>
      </c>
      <c r="T325" s="6"/>
      <c r="U325" s="6"/>
      <c r="V325" s="6"/>
      <c r="W325" s="6"/>
    </row>
    <row r="326" customFormat="false" ht="15" hidden="false" customHeight="false" outlineLevel="0" collapsed="false">
      <c r="A326" s="6" t="s">
        <v>2228</v>
      </c>
      <c r="B326" s="6" t="s">
        <v>2229</v>
      </c>
      <c r="C326" s="6" t="s">
        <v>2230</v>
      </c>
      <c r="D326" s="6" t="s">
        <v>39</v>
      </c>
      <c r="E326" s="6" t="s">
        <v>40</v>
      </c>
      <c r="F326" s="6" t="s">
        <v>2203</v>
      </c>
      <c r="G326" s="6" t="s">
        <v>2204</v>
      </c>
      <c r="H326" s="6" t="s">
        <v>1803</v>
      </c>
      <c r="I326" s="7" t="n">
        <v>3500</v>
      </c>
      <c r="J326" s="7" t="n">
        <v>5600</v>
      </c>
      <c r="K326" s="6" t="n">
        <v>0</v>
      </c>
      <c r="L326" s="6" t="n">
        <v>4</v>
      </c>
      <c r="M326" s="6" t="s">
        <v>51</v>
      </c>
      <c r="N326" s="6" t="s">
        <v>2231</v>
      </c>
      <c r="O326" s="8" t="b">
        <f aca="false">TRUE()</f>
        <v>1</v>
      </c>
      <c r="P326" s="6" t="s">
        <v>2232</v>
      </c>
      <c r="Q326" s="6" t="s">
        <v>2207</v>
      </c>
      <c r="R326" s="6" t="s">
        <v>2207</v>
      </c>
      <c r="S326" s="10" t="b">
        <f aca="false">TRUE()</f>
        <v>1</v>
      </c>
      <c r="T326" s="6" t="s">
        <v>2233</v>
      </c>
      <c r="U326" s="6" t="s">
        <v>73</v>
      </c>
      <c r="V326" s="6" t="s">
        <v>2234</v>
      </c>
      <c r="W326" s="6" t="s">
        <v>92</v>
      </c>
    </row>
    <row r="327" customFormat="false" ht="15" hidden="false" customHeight="false" outlineLevel="0" collapsed="false">
      <c r="A327" s="6" t="s">
        <v>2235</v>
      </c>
      <c r="B327" s="6" t="s">
        <v>2236</v>
      </c>
      <c r="C327" s="6" t="s">
        <v>2237</v>
      </c>
      <c r="D327" s="6" t="s">
        <v>39</v>
      </c>
      <c r="E327" s="6" t="s">
        <v>40</v>
      </c>
      <c r="F327" s="6" t="s">
        <v>2203</v>
      </c>
      <c r="G327" s="6" t="s">
        <v>2204</v>
      </c>
      <c r="H327" s="6" t="s">
        <v>1803</v>
      </c>
      <c r="I327" s="7" t="n">
        <v>3500</v>
      </c>
      <c r="J327" s="7" t="n">
        <v>5600</v>
      </c>
      <c r="K327" s="6" t="n">
        <v>0</v>
      </c>
      <c r="L327" s="6" t="n">
        <v>4</v>
      </c>
      <c r="M327" s="6" t="s">
        <v>51</v>
      </c>
      <c r="N327" s="6" t="s">
        <v>2238</v>
      </c>
      <c r="O327" s="8" t="b">
        <f aca="false">TRUE()</f>
        <v>1</v>
      </c>
      <c r="P327" s="6" t="s">
        <v>2239</v>
      </c>
      <c r="Q327" s="6" t="s">
        <v>2207</v>
      </c>
      <c r="R327" s="6" t="s">
        <v>2207</v>
      </c>
      <c r="S327" s="9" t="b">
        <f aca="false">FALSE()</f>
        <v>0</v>
      </c>
      <c r="T327" s="6"/>
      <c r="U327" s="6"/>
      <c r="V327" s="6"/>
      <c r="W327" s="6"/>
    </row>
    <row r="328" customFormat="false" ht="15" hidden="false" customHeight="false" outlineLevel="0" collapsed="false">
      <c r="A328" s="6" t="s">
        <v>2240</v>
      </c>
      <c r="B328" s="6" t="s">
        <v>2241</v>
      </c>
      <c r="C328" s="6" t="s">
        <v>2242</v>
      </c>
      <c r="D328" s="6" t="s">
        <v>39</v>
      </c>
      <c r="E328" s="6" t="s">
        <v>40</v>
      </c>
      <c r="F328" s="6" t="s">
        <v>2203</v>
      </c>
      <c r="G328" s="6" t="s">
        <v>2204</v>
      </c>
      <c r="H328" s="6" t="s">
        <v>1803</v>
      </c>
      <c r="I328" s="7" t="n">
        <v>3500</v>
      </c>
      <c r="J328" s="7" t="n">
        <v>5600</v>
      </c>
      <c r="K328" s="6" t="n">
        <v>0</v>
      </c>
      <c r="L328" s="6" t="n">
        <v>4</v>
      </c>
      <c r="M328" s="6" t="s">
        <v>51</v>
      </c>
      <c r="N328" s="6" t="s">
        <v>2243</v>
      </c>
      <c r="O328" s="8" t="b">
        <f aca="false">TRUE()</f>
        <v>1</v>
      </c>
      <c r="P328" s="6" t="s">
        <v>2244</v>
      </c>
      <c r="Q328" s="6" t="s">
        <v>2207</v>
      </c>
      <c r="R328" s="6" t="s">
        <v>2207</v>
      </c>
      <c r="S328" s="9" t="b">
        <f aca="false">FALSE()</f>
        <v>0</v>
      </c>
      <c r="T328" s="6"/>
      <c r="U328" s="6"/>
      <c r="V328" s="6"/>
      <c r="W328" s="6"/>
    </row>
    <row r="329" customFormat="false" ht="15" hidden="false" customHeight="false" outlineLevel="0" collapsed="false">
      <c r="A329" s="6" t="s">
        <v>2245</v>
      </c>
      <c r="B329" s="6" t="s">
        <v>2246</v>
      </c>
      <c r="C329" s="6" t="s">
        <v>2247</v>
      </c>
      <c r="D329" s="6" t="s">
        <v>39</v>
      </c>
      <c r="E329" s="6" t="s">
        <v>40</v>
      </c>
      <c r="F329" s="6" t="s">
        <v>2203</v>
      </c>
      <c r="G329" s="6" t="s">
        <v>2204</v>
      </c>
      <c r="H329" s="6" t="s">
        <v>1803</v>
      </c>
      <c r="I329" s="7" t="n">
        <v>3500</v>
      </c>
      <c r="J329" s="7" t="n">
        <v>5600</v>
      </c>
      <c r="K329" s="6" t="n">
        <v>0</v>
      </c>
      <c r="L329" s="6" t="n">
        <v>4</v>
      </c>
      <c r="M329" s="6" t="s">
        <v>51</v>
      </c>
      <c r="N329" s="6" t="s">
        <v>2248</v>
      </c>
      <c r="O329" s="8" t="b">
        <f aca="false">TRUE()</f>
        <v>1</v>
      </c>
      <c r="P329" s="6" t="s">
        <v>2249</v>
      </c>
      <c r="Q329" s="6" t="s">
        <v>2207</v>
      </c>
      <c r="R329" s="6" t="s">
        <v>2207</v>
      </c>
      <c r="S329" s="9" t="b">
        <f aca="false">FALSE()</f>
        <v>0</v>
      </c>
      <c r="T329" s="6"/>
      <c r="U329" s="6"/>
      <c r="V329" s="6"/>
      <c r="W329" s="6"/>
    </row>
    <row r="330" customFormat="false" ht="15" hidden="false" customHeight="false" outlineLevel="0" collapsed="false">
      <c r="A330" s="6" t="s">
        <v>2250</v>
      </c>
      <c r="B330" s="6" t="s">
        <v>2251</v>
      </c>
      <c r="C330" s="6" t="s">
        <v>2252</v>
      </c>
      <c r="D330" s="6" t="s">
        <v>39</v>
      </c>
      <c r="E330" s="6" t="s">
        <v>40</v>
      </c>
      <c r="F330" s="6" t="s">
        <v>2203</v>
      </c>
      <c r="G330" s="6" t="s">
        <v>2204</v>
      </c>
      <c r="H330" s="6" t="s">
        <v>1803</v>
      </c>
      <c r="I330" s="7" t="n">
        <v>3500</v>
      </c>
      <c r="J330" s="7" t="n">
        <v>5600</v>
      </c>
      <c r="K330" s="6" t="n">
        <v>0</v>
      </c>
      <c r="L330" s="6" t="n">
        <v>4</v>
      </c>
      <c r="M330" s="6" t="s">
        <v>51</v>
      </c>
      <c r="N330" s="6" t="s">
        <v>2253</v>
      </c>
      <c r="O330" s="8" t="b">
        <f aca="false">TRUE()</f>
        <v>1</v>
      </c>
      <c r="P330" s="6" t="s">
        <v>2254</v>
      </c>
      <c r="Q330" s="6" t="s">
        <v>2207</v>
      </c>
      <c r="R330" s="6" t="s">
        <v>2207</v>
      </c>
      <c r="S330" s="9" t="b">
        <f aca="false">FALSE()</f>
        <v>0</v>
      </c>
      <c r="T330" s="6"/>
      <c r="U330" s="6"/>
      <c r="V330" s="6"/>
      <c r="W330" s="6"/>
    </row>
    <row r="331" customFormat="false" ht="15" hidden="false" customHeight="false" outlineLevel="0" collapsed="false">
      <c r="A331" s="6" t="s">
        <v>2255</v>
      </c>
      <c r="B331" s="6" t="s">
        <v>2256</v>
      </c>
      <c r="C331" s="6" t="s">
        <v>2257</v>
      </c>
      <c r="D331" s="6" t="s">
        <v>39</v>
      </c>
      <c r="E331" s="6" t="s">
        <v>40</v>
      </c>
      <c r="F331" s="6" t="s">
        <v>2203</v>
      </c>
      <c r="G331" s="6" t="s">
        <v>2204</v>
      </c>
      <c r="H331" s="6" t="s">
        <v>1803</v>
      </c>
      <c r="I331" s="7" t="n">
        <v>3500</v>
      </c>
      <c r="J331" s="7" t="n">
        <v>5600</v>
      </c>
      <c r="K331" s="6" t="n">
        <v>0</v>
      </c>
      <c r="L331" s="6" t="n">
        <v>4</v>
      </c>
      <c r="M331" s="6" t="s">
        <v>51</v>
      </c>
      <c r="N331" s="6" t="s">
        <v>2258</v>
      </c>
      <c r="O331" s="8" t="b">
        <f aca="false">TRUE()</f>
        <v>1</v>
      </c>
      <c r="P331" s="6" t="s">
        <v>2259</v>
      </c>
      <c r="Q331" s="6" t="s">
        <v>2207</v>
      </c>
      <c r="R331" s="6" t="s">
        <v>2207</v>
      </c>
      <c r="S331" s="9" t="b">
        <f aca="false">FALSE()</f>
        <v>0</v>
      </c>
      <c r="T331" s="6"/>
      <c r="U331" s="6"/>
      <c r="V331" s="6"/>
      <c r="W331" s="6"/>
    </row>
    <row r="332" customFormat="false" ht="15" hidden="false" customHeight="false" outlineLevel="0" collapsed="false">
      <c r="A332" s="6" t="s">
        <v>2260</v>
      </c>
      <c r="B332" s="6" t="s">
        <v>2261</v>
      </c>
      <c r="C332" s="6" t="s">
        <v>2262</v>
      </c>
      <c r="D332" s="6" t="s">
        <v>39</v>
      </c>
      <c r="E332" s="6" t="s">
        <v>40</v>
      </c>
      <c r="F332" s="6" t="s">
        <v>2203</v>
      </c>
      <c r="G332" s="6" t="s">
        <v>2204</v>
      </c>
      <c r="H332" s="6" t="s">
        <v>1803</v>
      </c>
      <c r="I332" s="7" t="n">
        <v>3500</v>
      </c>
      <c r="J332" s="7" t="n">
        <v>5600</v>
      </c>
      <c r="K332" s="6" t="n">
        <v>0</v>
      </c>
      <c r="L332" s="6" t="n">
        <v>4</v>
      </c>
      <c r="M332" s="6" t="s">
        <v>51</v>
      </c>
      <c r="N332" s="6" t="s">
        <v>2263</v>
      </c>
      <c r="O332" s="8" t="b">
        <f aca="false">TRUE()</f>
        <v>1</v>
      </c>
      <c r="P332" s="6" t="s">
        <v>2264</v>
      </c>
      <c r="Q332" s="6" t="s">
        <v>2207</v>
      </c>
      <c r="R332" s="6" t="s">
        <v>2207</v>
      </c>
      <c r="S332" s="9" t="b">
        <f aca="false">FALSE()</f>
        <v>0</v>
      </c>
      <c r="T332" s="6"/>
      <c r="U332" s="6"/>
      <c r="V332" s="6"/>
      <c r="W332" s="6"/>
    </row>
    <row r="333" customFormat="false" ht="15" hidden="false" customHeight="false" outlineLevel="0" collapsed="false">
      <c r="A333" s="6" t="s">
        <v>2265</v>
      </c>
      <c r="B333" s="6" t="s">
        <v>2266</v>
      </c>
      <c r="C333" s="6" t="s">
        <v>2267</v>
      </c>
      <c r="D333" s="6" t="s">
        <v>39</v>
      </c>
      <c r="E333" s="6" t="s">
        <v>40</v>
      </c>
      <c r="F333" s="6" t="s">
        <v>2203</v>
      </c>
      <c r="G333" s="6" t="s">
        <v>2204</v>
      </c>
      <c r="H333" s="6" t="s">
        <v>1803</v>
      </c>
      <c r="I333" s="7" t="n">
        <v>3500</v>
      </c>
      <c r="J333" s="7" t="n">
        <v>5600</v>
      </c>
      <c r="K333" s="6" t="n">
        <v>0</v>
      </c>
      <c r="L333" s="6" t="n">
        <v>4</v>
      </c>
      <c r="M333" s="6" t="s">
        <v>51</v>
      </c>
      <c r="N333" s="6" t="s">
        <v>2268</v>
      </c>
      <c r="O333" s="8" t="b">
        <f aca="false">TRUE()</f>
        <v>1</v>
      </c>
      <c r="P333" s="6" t="s">
        <v>2269</v>
      </c>
      <c r="Q333" s="6" t="s">
        <v>2207</v>
      </c>
      <c r="R333" s="6" t="s">
        <v>2207</v>
      </c>
      <c r="S333" s="9" t="b">
        <f aca="false">FALSE()</f>
        <v>0</v>
      </c>
      <c r="T333" s="6"/>
      <c r="U333" s="6"/>
      <c r="V333" s="6"/>
      <c r="W333" s="6"/>
    </row>
    <row r="334" customFormat="false" ht="15" hidden="false" customHeight="false" outlineLevel="0" collapsed="false">
      <c r="A334" s="6" t="s">
        <v>2270</v>
      </c>
      <c r="B334" s="6" t="s">
        <v>2271</v>
      </c>
      <c r="C334" s="6" t="s">
        <v>2272</v>
      </c>
      <c r="D334" s="6" t="s">
        <v>39</v>
      </c>
      <c r="E334" s="6" t="s">
        <v>40</v>
      </c>
      <c r="F334" s="6" t="s">
        <v>2203</v>
      </c>
      <c r="G334" s="6" t="s">
        <v>2204</v>
      </c>
      <c r="H334" s="6" t="s">
        <v>1803</v>
      </c>
      <c r="I334" s="7" t="n">
        <v>3500</v>
      </c>
      <c r="J334" s="7" t="n">
        <v>5600</v>
      </c>
      <c r="K334" s="6" t="n">
        <v>0</v>
      </c>
      <c r="L334" s="6" t="n">
        <v>4</v>
      </c>
      <c r="M334" s="6" t="s">
        <v>51</v>
      </c>
      <c r="N334" s="6" t="s">
        <v>2273</v>
      </c>
      <c r="O334" s="8" t="b">
        <f aca="false">TRUE()</f>
        <v>1</v>
      </c>
      <c r="P334" s="6" t="s">
        <v>2274</v>
      </c>
      <c r="Q334" s="6" t="s">
        <v>2207</v>
      </c>
      <c r="R334" s="6" t="s">
        <v>2207</v>
      </c>
      <c r="S334" s="10" t="b">
        <f aca="false">TRUE()</f>
        <v>1</v>
      </c>
      <c r="T334" s="6" t="s">
        <v>2275</v>
      </c>
      <c r="U334" s="6" t="s">
        <v>73</v>
      </c>
      <c r="V334" s="6" t="s">
        <v>2276</v>
      </c>
      <c r="W334" s="6" t="s">
        <v>92</v>
      </c>
    </row>
    <row r="335" customFormat="false" ht="15" hidden="false" customHeight="false" outlineLevel="0" collapsed="false">
      <c r="A335" s="6" t="s">
        <v>2277</v>
      </c>
      <c r="B335" s="6" t="s">
        <v>2278</v>
      </c>
      <c r="C335" s="6" t="s">
        <v>2279</v>
      </c>
      <c r="D335" s="6" t="s">
        <v>39</v>
      </c>
      <c r="E335" s="6" t="s">
        <v>40</v>
      </c>
      <c r="F335" s="6" t="s">
        <v>2203</v>
      </c>
      <c r="G335" s="6" t="s">
        <v>2204</v>
      </c>
      <c r="H335" s="6" t="s">
        <v>1803</v>
      </c>
      <c r="I335" s="7" t="n">
        <v>3500</v>
      </c>
      <c r="J335" s="7" t="n">
        <v>5600</v>
      </c>
      <c r="K335" s="6" t="n">
        <v>0</v>
      </c>
      <c r="L335" s="6" t="n">
        <v>4</v>
      </c>
      <c r="M335" s="6" t="s">
        <v>51</v>
      </c>
      <c r="N335" s="6" t="s">
        <v>2280</v>
      </c>
      <c r="O335" s="8" t="b">
        <f aca="false">TRUE()</f>
        <v>1</v>
      </c>
      <c r="P335" s="6" t="s">
        <v>2281</v>
      </c>
      <c r="Q335" s="6" t="s">
        <v>2207</v>
      </c>
      <c r="R335" s="6" t="s">
        <v>2207</v>
      </c>
      <c r="S335" s="9" t="b">
        <f aca="false">FALSE()</f>
        <v>0</v>
      </c>
      <c r="T335" s="6"/>
      <c r="U335" s="6"/>
      <c r="V335" s="6"/>
      <c r="W335" s="6"/>
    </row>
    <row r="336" customFormat="false" ht="15" hidden="false" customHeight="false" outlineLevel="0" collapsed="false">
      <c r="A336" s="6" t="s">
        <v>2282</v>
      </c>
      <c r="B336" s="6" t="s">
        <v>2283</v>
      </c>
      <c r="C336" s="6" t="s">
        <v>2284</v>
      </c>
      <c r="D336" s="6" t="s">
        <v>39</v>
      </c>
      <c r="E336" s="6" t="s">
        <v>40</v>
      </c>
      <c r="F336" s="6" t="s">
        <v>2203</v>
      </c>
      <c r="G336" s="6" t="s">
        <v>2204</v>
      </c>
      <c r="H336" s="6" t="s">
        <v>1803</v>
      </c>
      <c r="I336" s="7" t="n">
        <v>3500</v>
      </c>
      <c r="J336" s="7" t="n">
        <v>5600</v>
      </c>
      <c r="K336" s="6" t="n">
        <v>0</v>
      </c>
      <c r="L336" s="6" t="n">
        <v>4</v>
      </c>
      <c r="M336" s="6" t="s">
        <v>51</v>
      </c>
      <c r="N336" s="6" t="s">
        <v>2285</v>
      </c>
      <c r="O336" s="8" t="b">
        <f aca="false">TRUE()</f>
        <v>1</v>
      </c>
      <c r="P336" s="6" t="s">
        <v>2286</v>
      </c>
      <c r="Q336" s="6" t="s">
        <v>2207</v>
      </c>
      <c r="R336" s="6" t="s">
        <v>2207</v>
      </c>
      <c r="S336" s="9" t="b">
        <f aca="false">FALSE()</f>
        <v>0</v>
      </c>
      <c r="T336" s="6"/>
      <c r="U336" s="6"/>
      <c r="V336" s="6"/>
      <c r="W336" s="6"/>
    </row>
    <row r="337" customFormat="false" ht="15" hidden="false" customHeight="false" outlineLevel="0" collapsed="false">
      <c r="A337" s="6" t="s">
        <v>2287</v>
      </c>
      <c r="B337" s="6" t="s">
        <v>2288</v>
      </c>
      <c r="C337" s="6" t="s">
        <v>2289</v>
      </c>
      <c r="D337" s="6" t="s">
        <v>39</v>
      </c>
      <c r="E337" s="6" t="s">
        <v>40</v>
      </c>
      <c r="F337" s="6" t="s">
        <v>2203</v>
      </c>
      <c r="G337" s="6" t="s">
        <v>2204</v>
      </c>
      <c r="H337" s="6" t="s">
        <v>1803</v>
      </c>
      <c r="I337" s="7" t="n">
        <v>3500</v>
      </c>
      <c r="J337" s="7" t="n">
        <v>5600</v>
      </c>
      <c r="K337" s="6" t="n">
        <v>0</v>
      </c>
      <c r="L337" s="6" t="n">
        <v>4</v>
      </c>
      <c r="M337" s="6" t="s">
        <v>51</v>
      </c>
      <c r="N337" s="6" t="s">
        <v>2290</v>
      </c>
      <c r="O337" s="8" t="b">
        <f aca="false">TRUE()</f>
        <v>1</v>
      </c>
      <c r="P337" s="6" t="s">
        <v>2291</v>
      </c>
      <c r="Q337" s="6" t="s">
        <v>2207</v>
      </c>
      <c r="R337" s="6" t="s">
        <v>2207</v>
      </c>
      <c r="S337" s="9" t="b">
        <f aca="false">FALSE()</f>
        <v>0</v>
      </c>
      <c r="T337" s="6"/>
      <c r="U337" s="6"/>
      <c r="V337" s="6"/>
      <c r="W337" s="6"/>
    </row>
    <row r="338" customFormat="false" ht="15" hidden="false" customHeight="false" outlineLevel="0" collapsed="false">
      <c r="A338" s="6" t="s">
        <v>2292</v>
      </c>
      <c r="B338" s="6" t="s">
        <v>2293</v>
      </c>
      <c r="C338" s="6" t="s">
        <v>2294</v>
      </c>
      <c r="D338" s="6" t="s">
        <v>39</v>
      </c>
      <c r="E338" s="6" t="s">
        <v>40</v>
      </c>
      <c r="F338" s="6" t="s">
        <v>2203</v>
      </c>
      <c r="G338" s="6" t="s">
        <v>2204</v>
      </c>
      <c r="H338" s="6" t="s">
        <v>1803</v>
      </c>
      <c r="I338" s="7" t="n">
        <v>3500</v>
      </c>
      <c r="J338" s="7" t="n">
        <v>5600</v>
      </c>
      <c r="K338" s="6" t="n">
        <v>0</v>
      </c>
      <c r="L338" s="6" t="n">
        <v>4</v>
      </c>
      <c r="M338" s="6" t="s">
        <v>51</v>
      </c>
      <c r="N338" s="6" t="s">
        <v>2295</v>
      </c>
      <c r="O338" s="8" t="b">
        <f aca="false">TRUE()</f>
        <v>1</v>
      </c>
      <c r="P338" s="6" t="s">
        <v>2296</v>
      </c>
      <c r="Q338" s="6" t="s">
        <v>2207</v>
      </c>
      <c r="R338" s="6" t="s">
        <v>2207</v>
      </c>
      <c r="S338" s="9" t="b">
        <f aca="false">FALSE()</f>
        <v>0</v>
      </c>
      <c r="T338" s="6"/>
      <c r="U338" s="6"/>
      <c r="V338" s="6"/>
      <c r="W338" s="6"/>
    </row>
    <row r="339" customFormat="false" ht="15" hidden="false" customHeight="false" outlineLevel="0" collapsed="false">
      <c r="A339" s="6" t="s">
        <v>2297</v>
      </c>
      <c r="B339" s="6" t="s">
        <v>2298</v>
      </c>
      <c r="C339" s="6" t="s">
        <v>2299</v>
      </c>
      <c r="D339" s="6" t="s">
        <v>39</v>
      </c>
      <c r="E339" s="6" t="s">
        <v>40</v>
      </c>
      <c r="F339" s="6" t="s">
        <v>2203</v>
      </c>
      <c r="G339" s="6" t="s">
        <v>2204</v>
      </c>
      <c r="H339" s="6" t="s">
        <v>1803</v>
      </c>
      <c r="I339" s="7" t="n">
        <v>3500</v>
      </c>
      <c r="J339" s="7" t="n">
        <v>5600</v>
      </c>
      <c r="K339" s="6" t="n">
        <v>0</v>
      </c>
      <c r="L339" s="6" t="n">
        <v>4</v>
      </c>
      <c r="M339" s="6" t="s">
        <v>51</v>
      </c>
      <c r="N339" s="6" t="s">
        <v>2300</v>
      </c>
      <c r="O339" s="8" t="b">
        <f aca="false">TRUE()</f>
        <v>1</v>
      </c>
      <c r="P339" s="6" t="s">
        <v>2301</v>
      </c>
      <c r="Q339" s="6" t="s">
        <v>2207</v>
      </c>
      <c r="R339" s="6" t="s">
        <v>2207</v>
      </c>
      <c r="S339" s="9" t="b">
        <f aca="false">FALSE()</f>
        <v>0</v>
      </c>
      <c r="T339" s="6"/>
      <c r="U339" s="6"/>
      <c r="V339" s="6"/>
      <c r="W339" s="6"/>
    </row>
    <row r="340" customFormat="false" ht="15" hidden="false" customHeight="false" outlineLevel="0" collapsed="false">
      <c r="A340" s="6" t="s">
        <v>2302</v>
      </c>
      <c r="B340" s="6" t="s">
        <v>2303</v>
      </c>
      <c r="C340" s="6" t="s">
        <v>2304</v>
      </c>
      <c r="D340" s="6" t="s">
        <v>39</v>
      </c>
      <c r="E340" s="6" t="s">
        <v>40</v>
      </c>
      <c r="F340" s="6" t="s">
        <v>2203</v>
      </c>
      <c r="G340" s="6" t="s">
        <v>2204</v>
      </c>
      <c r="H340" s="6" t="s">
        <v>1803</v>
      </c>
      <c r="I340" s="7" t="n">
        <v>3500</v>
      </c>
      <c r="J340" s="7" t="n">
        <v>5600</v>
      </c>
      <c r="K340" s="6" t="n">
        <v>0</v>
      </c>
      <c r="L340" s="6" t="n">
        <v>4</v>
      </c>
      <c r="M340" s="6" t="s">
        <v>51</v>
      </c>
      <c r="N340" s="6" t="s">
        <v>2305</v>
      </c>
      <c r="O340" s="8" t="b">
        <f aca="false">TRUE()</f>
        <v>1</v>
      </c>
      <c r="P340" s="6" t="s">
        <v>2306</v>
      </c>
      <c r="Q340" s="6" t="s">
        <v>2207</v>
      </c>
      <c r="R340" s="6" t="s">
        <v>2207</v>
      </c>
      <c r="S340" s="9" t="b">
        <f aca="false">FALSE()</f>
        <v>0</v>
      </c>
      <c r="T340" s="6"/>
      <c r="U340" s="6"/>
      <c r="V340" s="6"/>
      <c r="W340" s="6"/>
    </row>
    <row r="341" customFormat="false" ht="15" hidden="false" customHeight="false" outlineLevel="0" collapsed="false">
      <c r="A341" s="6" t="s">
        <v>2307</v>
      </c>
      <c r="B341" s="6" t="s">
        <v>2308</v>
      </c>
      <c r="C341" s="6" t="s">
        <v>2309</v>
      </c>
      <c r="D341" s="6" t="s">
        <v>39</v>
      </c>
      <c r="E341" s="6" t="s">
        <v>40</v>
      </c>
      <c r="F341" s="6" t="s">
        <v>2203</v>
      </c>
      <c r="G341" s="6" t="s">
        <v>41</v>
      </c>
      <c r="H341" s="6" t="s">
        <v>1803</v>
      </c>
      <c r="I341" s="7" t="n">
        <v>3500</v>
      </c>
      <c r="J341" s="7" t="n">
        <v>5600</v>
      </c>
      <c r="K341" s="6" t="n">
        <v>0</v>
      </c>
      <c r="L341" s="6" t="n">
        <v>4</v>
      </c>
      <c r="M341" s="6" t="s">
        <v>51</v>
      </c>
      <c r="N341" s="6" t="s">
        <v>2310</v>
      </c>
      <c r="O341" s="8" t="b">
        <f aca="false">TRUE()</f>
        <v>1</v>
      </c>
      <c r="P341" s="6" t="s">
        <v>2311</v>
      </c>
      <c r="Q341" s="6" t="s">
        <v>2207</v>
      </c>
      <c r="R341" s="6" t="s">
        <v>2207</v>
      </c>
      <c r="S341" s="9" t="b">
        <f aca="false">FALSE()</f>
        <v>0</v>
      </c>
      <c r="T341" s="6"/>
      <c r="U341" s="6"/>
      <c r="V341" s="6"/>
      <c r="W341" s="6"/>
    </row>
    <row r="342" customFormat="false" ht="15" hidden="false" customHeight="false" outlineLevel="0" collapsed="false">
      <c r="A342" s="6" t="s">
        <v>2312</v>
      </c>
      <c r="B342" s="6" t="s">
        <v>2313</v>
      </c>
      <c r="C342" s="6" t="s">
        <v>2314</v>
      </c>
      <c r="D342" s="6" t="s">
        <v>39</v>
      </c>
      <c r="E342" s="6" t="s">
        <v>40</v>
      </c>
      <c r="F342" s="6" t="s">
        <v>2203</v>
      </c>
      <c r="G342" s="6" t="s">
        <v>2204</v>
      </c>
      <c r="H342" s="6" t="s">
        <v>1803</v>
      </c>
      <c r="I342" s="7" t="n">
        <v>3500</v>
      </c>
      <c r="J342" s="7" t="n">
        <v>5600</v>
      </c>
      <c r="K342" s="6" t="n">
        <v>0</v>
      </c>
      <c r="L342" s="6" t="n">
        <v>4</v>
      </c>
      <c r="M342" s="6" t="s">
        <v>51</v>
      </c>
      <c r="N342" s="6" t="s">
        <v>2315</v>
      </c>
      <c r="O342" s="8" t="b">
        <f aca="false">TRUE()</f>
        <v>1</v>
      </c>
      <c r="P342" s="6" t="s">
        <v>2316</v>
      </c>
      <c r="Q342" s="6" t="s">
        <v>2207</v>
      </c>
      <c r="R342" s="6" t="s">
        <v>2207</v>
      </c>
      <c r="S342" s="9" t="b">
        <f aca="false">FALSE()</f>
        <v>0</v>
      </c>
      <c r="T342" s="6"/>
      <c r="U342" s="6"/>
      <c r="V342" s="6"/>
      <c r="W342" s="6"/>
    </row>
    <row r="343" customFormat="false" ht="15" hidden="false" customHeight="false" outlineLevel="0" collapsed="false">
      <c r="A343" s="6" t="s">
        <v>2317</v>
      </c>
      <c r="B343" s="6" t="s">
        <v>2318</v>
      </c>
      <c r="C343" s="6" t="s">
        <v>2319</v>
      </c>
      <c r="D343" s="6" t="s">
        <v>39</v>
      </c>
      <c r="E343" s="6" t="s">
        <v>40</v>
      </c>
      <c r="F343" s="6" t="s">
        <v>2203</v>
      </c>
      <c r="G343" s="6" t="s">
        <v>2204</v>
      </c>
      <c r="H343" s="6" t="s">
        <v>1803</v>
      </c>
      <c r="I343" s="7" t="n">
        <v>3500</v>
      </c>
      <c r="J343" s="7" t="n">
        <v>5600</v>
      </c>
      <c r="K343" s="6" t="n">
        <v>0</v>
      </c>
      <c r="L343" s="6" t="n">
        <v>4</v>
      </c>
      <c r="M343" s="6" t="s">
        <v>51</v>
      </c>
      <c r="N343" s="6" t="s">
        <v>2320</v>
      </c>
      <c r="O343" s="8" t="b">
        <f aca="false">TRUE()</f>
        <v>1</v>
      </c>
      <c r="P343" s="6" t="s">
        <v>2321</v>
      </c>
      <c r="Q343" s="6" t="s">
        <v>2207</v>
      </c>
      <c r="R343" s="6" t="s">
        <v>2207</v>
      </c>
      <c r="S343" s="9" t="b">
        <f aca="false">FALSE()</f>
        <v>0</v>
      </c>
      <c r="T343" s="6"/>
      <c r="U343" s="6"/>
      <c r="V343" s="6"/>
      <c r="W343" s="6"/>
    </row>
    <row r="344" customFormat="false" ht="15" hidden="false" customHeight="false" outlineLevel="0" collapsed="false">
      <c r="A344" s="6" t="s">
        <v>2322</v>
      </c>
      <c r="B344" s="6" t="s">
        <v>2323</v>
      </c>
      <c r="C344" s="6" t="s">
        <v>2324</v>
      </c>
      <c r="D344" s="6" t="s">
        <v>39</v>
      </c>
      <c r="E344" s="6" t="s">
        <v>40</v>
      </c>
      <c r="F344" s="6" t="s">
        <v>2203</v>
      </c>
      <c r="G344" s="6" t="s">
        <v>2204</v>
      </c>
      <c r="H344" s="6" t="s">
        <v>1803</v>
      </c>
      <c r="I344" s="7" t="n">
        <v>3500</v>
      </c>
      <c r="J344" s="7" t="n">
        <v>5600</v>
      </c>
      <c r="K344" s="6" t="n">
        <v>0</v>
      </c>
      <c r="L344" s="6" t="n">
        <v>4</v>
      </c>
      <c r="M344" s="6" t="s">
        <v>51</v>
      </c>
      <c r="N344" s="6" t="s">
        <v>2325</v>
      </c>
      <c r="O344" s="8" t="b">
        <f aca="false">TRUE()</f>
        <v>1</v>
      </c>
      <c r="P344" s="6" t="s">
        <v>2326</v>
      </c>
      <c r="Q344" s="6" t="s">
        <v>2207</v>
      </c>
      <c r="R344" s="6" t="s">
        <v>2207</v>
      </c>
      <c r="S344" s="9" t="b">
        <f aca="false">FALSE()</f>
        <v>0</v>
      </c>
      <c r="T344" s="6"/>
      <c r="U344" s="6"/>
      <c r="V344" s="6"/>
      <c r="W344" s="6"/>
    </row>
    <row r="345" customFormat="false" ht="15" hidden="false" customHeight="false" outlineLevel="0" collapsed="false">
      <c r="A345" s="6" t="s">
        <v>2327</v>
      </c>
      <c r="B345" s="6" t="s">
        <v>2328</v>
      </c>
      <c r="C345" s="6" t="s">
        <v>2329</v>
      </c>
      <c r="D345" s="6" t="s">
        <v>39</v>
      </c>
      <c r="E345" s="6" t="s">
        <v>40</v>
      </c>
      <c r="F345" s="6" t="s">
        <v>2203</v>
      </c>
      <c r="G345" s="6" t="s">
        <v>2204</v>
      </c>
      <c r="H345" s="6" t="s">
        <v>1803</v>
      </c>
      <c r="I345" s="7" t="n">
        <v>3500</v>
      </c>
      <c r="J345" s="7" t="n">
        <v>5600</v>
      </c>
      <c r="K345" s="6" t="n">
        <v>0</v>
      </c>
      <c r="L345" s="6" t="n">
        <v>4</v>
      </c>
      <c r="M345" s="6" t="s">
        <v>51</v>
      </c>
      <c r="N345" s="6" t="s">
        <v>2330</v>
      </c>
      <c r="O345" s="8" t="b">
        <f aca="false">TRUE()</f>
        <v>1</v>
      </c>
      <c r="P345" s="6" t="s">
        <v>2331</v>
      </c>
      <c r="Q345" s="6" t="s">
        <v>2207</v>
      </c>
      <c r="R345" s="6" t="s">
        <v>2207</v>
      </c>
      <c r="S345" s="9" t="b">
        <f aca="false">FALSE()</f>
        <v>0</v>
      </c>
      <c r="T345" s="6"/>
      <c r="U345" s="6"/>
      <c r="V345" s="6"/>
      <c r="W345" s="6"/>
    </row>
    <row r="346" customFormat="false" ht="15" hidden="false" customHeight="false" outlineLevel="0" collapsed="false">
      <c r="A346" s="6" t="s">
        <v>2332</v>
      </c>
      <c r="B346" s="6" t="s">
        <v>2333</v>
      </c>
      <c r="C346" s="6" t="s">
        <v>2334</v>
      </c>
      <c r="D346" s="6" t="s">
        <v>39</v>
      </c>
      <c r="E346" s="6" t="s">
        <v>40</v>
      </c>
      <c r="F346" s="6" t="s">
        <v>2203</v>
      </c>
      <c r="G346" s="6" t="s">
        <v>2204</v>
      </c>
      <c r="H346" s="6" t="s">
        <v>1803</v>
      </c>
      <c r="I346" s="7" t="n">
        <v>3500</v>
      </c>
      <c r="J346" s="7" t="n">
        <v>5600</v>
      </c>
      <c r="K346" s="6" t="n">
        <v>0</v>
      </c>
      <c r="L346" s="6" t="n">
        <v>4</v>
      </c>
      <c r="M346" s="6" t="s">
        <v>51</v>
      </c>
      <c r="N346" s="6" t="s">
        <v>2335</v>
      </c>
      <c r="O346" s="8" t="b">
        <f aca="false">TRUE()</f>
        <v>1</v>
      </c>
      <c r="P346" s="6" t="s">
        <v>2336</v>
      </c>
      <c r="Q346" s="6" t="s">
        <v>2207</v>
      </c>
      <c r="R346" s="6" t="s">
        <v>2207</v>
      </c>
      <c r="S346" s="9" t="b">
        <f aca="false">FALSE()</f>
        <v>0</v>
      </c>
      <c r="T346" s="6"/>
      <c r="U346" s="6"/>
      <c r="V346" s="6"/>
      <c r="W346" s="6"/>
    </row>
    <row r="347" customFormat="false" ht="15" hidden="false" customHeight="false" outlineLevel="0" collapsed="false">
      <c r="A347" s="6" t="s">
        <v>2337</v>
      </c>
      <c r="B347" s="6" t="s">
        <v>2338</v>
      </c>
      <c r="C347" s="6" t="s">
        <v>2339</v>
      </c>
      <c r="D347" s="6" t="s">
        <v>39</v>
      </c>
      <c r="E347" s="6" t="s">
        <v>40</v>
      </c>
      <c r="F347" s="6" t="s">
        <v>2203</v>
      </c>
      <c r="G347" s="6" t="s">
        <v>2204</v>
      </c>
      <c r="H347" s="6" t="s">
        <v>1803</v>
      </c>
      <c r="I347" s="7" t="n">
        <v>3500</v>
      </c>
      <c r="J347" s="7" t="n">
        <v>5600</v>
      </c>
      <c r="K347" s="6" t="n">
        <v>0</v>
      </c>
      <c r="L347" s="6" t="n">
        <v>4</v>
      </c>
      <c r="M347" s="6" t="s">
        <v>51</v>
      </c>
      <c r="N347" s="6" t="s">
        <v>2340</v>
      </c>
      <c r="O347" s="8" t="b">
        <f aca="false">TRUE()</f>
        <v>1</v>
      </c>
      <c r="P347" s="6" t="s">
        <v>2341</v>
      </c>
      <c r="Q347" s="6" t="s">
        <v>2207</v>
      </c>
      <c r="R347" s="6" t="s">
        <v>2207</v>
      </c>
      <c r="S347" s="9" t="b">
        <f aca="false">FALSE()</f>
        <v>0</v>
      </c>
      <c r="T347" s="6"/>
      <c r="U347" s="6"/>
      <c r="V347" s="6"/>
      <c r="W347" s="6"/>
    </row>
    <row r="348" customFormat="false" ht="15" hidden="false" customHeight="false" outlineLevel="0" collapsed="false">
      <c r="A348" s="6" t="s">
        <v>2342</v>
      </c>
      <c r="B348" s="6" t="s">
        <v>2343</v>
      </c>
      <c r="C348" s="6" t="s">
        <v>2344</v>
      </c>
      <c r="D348" s="6" t="s">
        <v>39</v>
      </c>
      <c r="E348" s="6" t="s">
        <v>40</v>
      </c>
      <c r="F348" s="6" t="s">
        <v>2203</v>
      </c>
      <c r="G348" s="6" t="s">
        <v>2204</v>
      </c>
      <c r="H348" s="6" t="s">
        <v>1803</v>
      </c>
      <c r="I348" s="7" t="n">
        <v>3500</v>
      </c>
      <c r="J348" s="7" t="n">
        <v>5600</v>
      </c>
      <c r="K348" s="6" t="n">
        <v>0</v>
      </c>
      <c r="L348" s="6" t="n">
        <v>4</v>
      </c>
      <c r="M348" s="6" t="s">
        <v>51</v>
      </c>
      <c r="N348" s="6" t="s">
        <v>2345</v>
      </c>
      <c r="O348" s="8" t="b">
        <f aca="false">TRUE()</f>
        <v>1</v>
      </c>
      <c r="P348" s="6" t="s">
        <v>2346</v>
      </c>
      <c r="Q348" s="6" t="s">
        <v>2207</v>
      </c>
      <c r="R348" s="6" t="s">
        <v>2207</v>
      </c>
      <c r="S348" s="9" t="b">
        <f aca="false">FALSE()</f>
        <v>0</v>
      </c>
      <c r="T348" s="6"/>
      <c r="U348" s="6"/>
      <c r="V348" s="6"/>
      <c r="W348" s="6"/>
    </row>
    <row r="349" customFormat="false" ht="15" hidden="false" customHeight="false" outlineLevel="0" collapsed="false">
      <c r="A349" s="6" t="s">
        <v>2347</v>
      </c>
      <c r="B349" s="6" t="s">
        <v>2348</v>
      </c>
      <c r="C349" s="6" t="s">
        <v>2349</v>
      </c>
      <c r="D349" s="6" t="s">
        <v>39</v>
      </c>
      <c r="E349" s="6" t="s">
        <v>40</v>
      </c>
      <c r="F349" s="6" t="s">
        <v>2203</v>
      </c>
      <c r="G349" s="6" t="s">
        <v>2204</v>
      </c>
      <c r="H349" s="6" t="s">
        <v>1803</v>
      </c>
      <c r="I349" s="7" t="n">
        <v>3500</v>
      </c>
      <c r="J349" s="7" t="n">
        <v>5600</v>
      </c>
      <c r="K349" s="6" t="n">
        <v>0</v>
      </c>
      <c r="L349" s="6" t="n">
        <v>4</v>
      </c>
      <c r="M349" s="6" t="s">
        <v>51</v>
      </c>
      <c r="N349" s="6" t="s">
        <v>2350</v>
      </c>
      <c r="O349" s="8" t="b">
        <f aca="false">TRUE()</f>
        <v>1</v>
      </c>
      <c r="P349" s="6" t="s">
        <v>2351</v>
      </c>
      <c r="Q349" s="6" t="s">
        <v>2207</v>
      </c>
      <c r="R349" s="6" t="s">
        <v>2207</v>
      </c>
      <c r="S349" s="9" t="b">
        <f aca="false">FALSE()</f>
        <v>0</v>
      </c>
      <c r="T349" s="6"/>
      <c r="U349" s="6"/>
      <c r="V349" s="6"/>
      <c r="W349" s="6"/>
    </row>
    <row r="350" customFormat="false" ht="15" hidden="false" customHeight="false" outlineLevel="0" collapsed="false">
      <c r="A350" s="6" t="s">
        <v>2352</v>
      </c>
      <c r="B350" s="6" t="s">
        <v>2353</v>
      </c>
      <c r="C350" s="6" t="s">
        <v>2354</v>
      </c>
      <c r="D350" s="6" t="s">
        <v>39</v>
      </c>
      <c r="E350" s="6" t="s">
        <v>40</v>
      </c>
      <c r="F350" s="6" t="s">
        <v>2203</v>
      </c>
      <c r="G350" s="6" t="s">
        <v>2204</v>
      </c>
      <c r="H350" s="6" t="s">
        <v>1803</v>
      </c>
      <c r="I350" s="7" t="n">
        <v>3500</v>
      </c>
      <c r="J350" s="7" t="n">
        <v>5600</v>
      </c>
      <c r="K350" s="6" t="n">
        <v>0</v>
      </c>
      <c r="L350" s="6" t="n">
        <v>4</v>
      </c>
      <c r="M350" s="6" t="s">
        <v>51</v>
      </c>
      <c r="N350" s="6" t="s">
        <v>2355</v>
      </c>
      <c r="O350" s="8" t="b">
        <f aca="false">TRUE()</f>
        <v>1</v>
      </c>
      <c r="P350" s="6" t="s">
        <v>2356</v>
      </c>
      <c r="Q350" s="6" t="s">
        <v>2207</v>
      </c>
      <c r="R350" s="6" t="s">
        <v>2207</v>
      </c>
      <c r="S350" s="9" t="b">
        <f aca="false">FALSE()</f>
        <v>0</v>
      </c>
      <c r="T350" s="6"/>
      <c r="U350" s="6"/>
      <c r="V350" s="6"/>
      <c r="W350" s="6"/>
    </row>
    <row r="351" customFormat="false" ht="15" hidden="false" customHeight="false" outlineLevel="0" collapsed="false">
      <c r="A351" s="6" t="s">
        <v>2357</v>
      </c>
      <c r="B351" s="6" t="s">
        <v>2358</v>
      </c>
      <c r="C351" s="6" t="s">
        <v>2359</v>
      </c>
      <c r="D351" s="6" t="s">
        <v>39</v>
      </c>
      <c r="E351" s="6" t="s">
        <v>40</v>
      </c>
      <c r="F351" s="6" t="s">
        <v>2203</v>
      </c>
      <c r="G351" s="6" t="s">
        <v>2204</v>
      </c>
      <c r="H351" s="6" t="s">
        <v>1803</v>
      </c>
      <c r="I351" s="7" t="n">
        <v>3500</v>
      </c>
      <c r="J351" s="7" t="n">
        <v>5600</v>
      </c>
      <c r="K351" s="6" t="n">
        <v>0</v>
      </c>
      <c r="L351" s="6" t="n">
        <v>4</v>
      </c>
      <c r="M351" s="6" t="s">
        <v>51</v>
      </c>
      <c r="N351" s="6" t="s">
        <v>2360</v>
      </c>
      <c r="O351" s="8" t="b">
        <f aca="false">TRUE()</f>
        <v>1</v>
      </c>
      <c r="P351" s="6" t="s">
        <v>2361</v>
      </c>
      <c r="Q351" s="6" t="s">
        <v>2207</v>
      </c>
      <c r="R351" s="6" t="s">
        <v>2207</v>
      </c>
      <c r="S351" s="9" t="b">
        <f aca="false">FALSE()</f>
        <v>0</v>
      </c>
      <c r="T351" s="6"/>
      <c r="U351" s="6"/>
      <c r="V351" s="6"/>
      <c r="W351" s="6"/>
    </row>
    <row r="352" customFormat="false" ht="15" hidden="false" customHeight="false" outlineLevel="0" collapsed="false">
      <c r="A352" s="6" t="s">
        <v>2362</v>
      </c>
      <c r="B352" s="6" t="s">
        <v>2363</v>
      </c>
      <c r="C352" s="6" t="s">
        <v>2364</v>
      </c>
      <c r="D352" s="6" t="s">
        <v>39</v>
      </c>
      <c r="E352" s="6" t="s">
        <v>40</v>
      </c>
      <c r="F352" s="6" t="s">
        <v>2203</v>
      </c>
      <c r="G352" s="6" t="s">
        <v>2204</v>
      </c>
      <c r="H352" s="6" t="s">
        <v>1803</v>
      </c>
      <c r="I352" s="7" t="n">
        <v>3500</v>
      </c>
      <c r="J352" s="7" t="n">
        <v>5600</v>
      </c>
      <c r="K352" s="6" t="n">
        <v>0</v>
      </c>
      <c r="L352" s="6" t="n">
        <v>4</v>
      </c>
      <c r="M352" s="6" t="s">
        <v>2365</v>
      </c>
      <c r="N352" s="6" t="s">
        <v>2366</v>
      </c>
      <c r="O352" s="8" t="b">
        <f aca="false">TRUE()</f>
        <v>1</v>
      </c>
      <c r="P352" s="6" t="s">
        <v>2367</v>
      </c>
      <c r="Q352" s="6" t="s">
        <v>2207</v>
      </c>
      <c r="R352" s="6" t="s">
        <v>2207</v>
      </c>
      <c r="S352" s="10" t="b">
        <f aca="false">TRUE()</f>
        <v>1</v>
      </c>
      <c r="T352" s="6" t="s">
        <v>2368</v>
      </c>
      <c r="U352" s="6" t="s">
        <v>73</v>
      </c>
      <c r="V352" s="6" t="s">
        <v>2369</v>
      </c>
      <c r="W352" s="6" t="s">
        <v>92</v>
      </c>
    </row>
    <row r="353" customFormat="false" ht="15" hidden="false" customHeight="false" outlineLevel="0" collapsed="false">
      <c r="A353" s="6" t="s">
        <v>2370</v>
      </c>
      <c r="B353" s="6" t="s">
        <v>2371</v>
      </c>
      <c r="C353" s="6" t="s">
        <v>2372</v>
      </c>
      <c r="D353" s="6" t="s">
        <v>39</v>
      </c>
      <c r="E353" s="6" t="s">
        <v>40</v>
      </c>
      <c r="F353" s="6" t="s">
        <v>2203</v>
      </c>
      <c r="G353" s="6" t="s">
        <v>2204</v>
      </c>
      <c r="H353" s="6" t="s">
        <v>1803</v>
      </c>
      <c r="I353" s="7" t="n">
        <v>3500</v>
      </c>
      <c r="J353" s="7" t="n">
        <v>5600</v>
      </c>
      <c r="K353" s="6" t="n">
        <v>0</v>
      </c>
      <c r="L353" s="6" t="n">
        <v>4</v>
      </c>
      <c r="M353" s="6" t="s">
        <v>51</v>
      </c>
      <c r="N353" s="6" t="s">
        <v>2373</v>
      </c>
      <c r="O353" s="8" t="b">
        <f aca="false">TRUE()</f>
        <v>1</v>
      </c>
      <c r="P353" s="6" t="s">
        <v>2374</v>
      </c>
      <c r="Q353" s="6" t="s">
        <v>2207</v>
      </c>
      <c r="R353" s="6" t="s">
        <v>2207</v>
      </c>
      <c r="S353" s="9" t="b">
        <f aca="false">FALSE()</f>
        <v>0</v>
      </c>
      <c r="T353" s="6"/>
      <c r="U353" s="6"/>
      <c r="V353" s="6"/>
      <c r="W353" s="6"/>
    </row>
    <row r="354" customFormat="false" ht="15" hidden="false" customHeight="false" outlineLevel="0" collapsed="false">
      <c r="A354" s="6" t="s">
        <v>2375</v>
      </c>
      <c r="B354" s="6" t="s">
        <v>2376</v>
      </c>
      <c r="C354" s="6" t="s">
        <v>2377</v>
      </c>
      <c r="D354" s="6" t="s">
        <v>39</v>
      </c>
      <c r="E354" s="6" t="s">
        <v>40</v>
      </c>
      <c r="F354" s="6" t="s">
        <v>2203</v>
      </c>
      <c r="G354" s="6" t="s">
        <v>2204</v>
      </c>
      <c r="H354" s="6" t="s">
        <v>1803</v>
      </c>
      <c r="I354" s="7" t="n">
        <v>3500</v>
      </c>
      <c r="J354" s="7" t="n">
        <v>5600</v>
      </c>
      <c r="K354" s="6" t="n">
        <v>0</v>
      </c>
      <c r="L354" s="6" t="n">
        <v>4</v>
      </c>
      <c r="M354" s="6" t="s">
        <v>51</v>
      </c>
      <c r="N354" s="6" t="s">
        <v>2378</v>
      </c>
      <c r="O354" s="8" t="b">
        <f aca="false">TRUE()</f>
        <v>1</v>
      </c>
      <c r="P354" s="6" t="s">
        <v>2379</v>
      </c>
      <c r="Q354" s="6" t="s">
        <v>2207</v>
      </c>
      <c r="R354" s="6" t="s">
        <v>2207</v>
      </c>
      <c r="S354" s="10" t="b">
        <f aca="false">TRUE()</f>
        <v>1</v>
      </c>
      <c r="T354" s="6" t="s">
        <v>2380</v>
      </c>
      <c r="U354" s="6" t="s">
        <v>73</v>
      </c>
      <c r="V354" s="6" t="s">
        <v>2381</v>
      </c>
      <c r="W354" s="6" t="s">
        <v>92</v>
      </c>
    </row>
    <row r="355" customFormat="false" ht="15" hidden="false" customHeight="false" outlineLevel="0" collapsed="false">
      <c r="A355" s="6" t="s">
        <v>2382</v>
      </c>
      <c r="B355" s="6" t="s">
        <v>2383</v>
      </c>
      <c r="C355" s="6" t="s">
        <v>2384</v>
      </c>
      <c r="D355" s="6" t="s">
        <v>39</v>
      </c>
      <c r="E355" s="6" t="s">
        <v>40</v>
      </c>
      <c r="F355" s="6" t="s">
        <v>2203</v>
      </c>
      <c r="G355" s="6" t="s">
        <v>2204</v>
      </c>
      <c r="H355" s="6" t="s">
        <v>1803</v>
      </c>
      <c r="I355" s="7" t="n">
        <v>3500</v>
      </c>
      <c r="J355" s="7" t="n">
        <v>5600</v>
      </c>
      <c r="K355" s="6" t="n">
        <v>0</v>
      </c>
      <c r="L355" s="6" t="n">
        <v>4</v>
      </c>
      <c r="M355" s="6" t="s">
        <v>51</v>
      </c>
      <c r="N355" s="6" t="s">
        <v>2385</v>
      </c>
      <c r="O355" s="8" t="b">
        <f aca="false">TRUE()</f>
        <v>1</v>
      </c>
      <c r="P355" s="6" t="s">
        <v>2386</v>
      </c>
      <c r="Q355" s="6" t="s">
        <v>2207</v>
      </c>
      <c r="R355" s="6" t="s">
        <v>2207</v>
      </c>
      <c r="S355" s="9" t="b">
        <f aca="false">FALSE()</f>
        <v>0</v>
      </c>
      <c r="T355" s="6"/>
      <c r="U355" s="6"/>
      <c r="V355" s="6"/>
      <c r="W355" s="6"/>
    </row>
    <row r="356" customFormat="false" ht="15" hidden="false" customHeight="false" outlineLevel="0" collapsed="false">
      <c r="A356" s="6" t="s">
        <v>2387</v>
      </c>
      <c r="B356" s="6" t="s">
        <v>2388</v>
      </c>
      <c r="C356" s="6" t="s">
        <v>2389</v>
      </c>
      <c r="D356" s="6" t="s">
        <v>39</v>
      </c>
      <c r="E356" s="6" t="s">
        <v>40</v>
      </c>
      <c r="F356" s="6" t="s">
        <v>2203</v>
      </c>
      <c r="G356" s="6" t="s">
        <v>2204</v>
      </c>
      <c r="H356" s="6" t="s">
        <v>1803</v>
      </c>
      <c r="I356" s="7" t="n">
        <v>3500</v>
      </c>
      <c r="J356" s="7" t="n">
        <v>5600</v>
      </c>
      <c r="K356" s="6" t="n">
        <v>0</v>
      </c>
      <c r="L356" s="6" t="n">
        <v>4</v>
      </c>
      <c r="M356" s="6" t="s">
        <v>51</v>
      </c>
      <c r="N356" s="6" t="s">
        <v>2390</v>
      </c>
      <c r="O356" s="8" t="b">
        <f aca="false">TRUE()</f>
        <v>1</v>
      </c>
      <c r="P356" s="6" t="s">
        <v>2391</v>
      </c>
      <c r="Q356" s="6" t="s">
        <v>2207</v>
      </c>
      <c r="R356" s="6" t="s">
        <v>2207</v>
      </c>
      <c r="S356" s="9" t="b">
        <f aca="false">FALSE()</f>
        <v>0</v>
      </c>
      <c r="T356" s="6"/>
      <c r="U356" s="6"/>
      <c r="V356" s="6"/>
      <c r="W356" s="6"/>
    </row>
    <row r="357" customFormat="false" ht="15" hidden="false" customHeight="false" outlineLevel="0" collapsed="false">
      <c r="A357" s="6" t="s">
        <v>2392</v>
      </c>
      <c r="B357" s="6" t="s">
        <v>2393</v>
      </c>
      <c r="C357" s="6" t="s">
        <v>2394</v>
      </c>
      <c r="D357" s="6" t="s">
        <v>39</v>
      </c>
      <c r="E357" s="6" t="s">
        <v>40</v>
      </c>
      <c r="F357" s="6" t="s">
        <v>2203</v>
      </c>
      <c r="G357" s="6" t="s">
        <v>2204</v>
      </c>
      <c r="H357" s="6" t="s">
        <v>1803</v>
      </c>
      <c r="I357" s="7" t="n">
        <v>3500</v>
      </c>
      <c r="J357" s="7" t="n">
        <v>5600</v>
      </c>
      <c r="K357" s="6" t="n">
        <v>0</v>
      </c>
      <c r="L357" s="6" t="n">
        <v>4</v>
      </c>
      <c r="M357" s="6" t="s">
        <v>51</v>
      </c>
      <c r="N357" s="6" t="s">
        <v>2395</v>
      </c>
      <c r="O357" s="8" t="b">
        <f aca="false">TRUE()</f>
        <v>1</v>
      </c>
      <c r="P357" s="6" t="s">
        <v>2396</v>
      </c>
      <c r="Q357" s="6" t="s">
        <v>2397</v>
      </c>
      <c r="R357" s="6" t="s">
        <v>2397</v>
      </c>
      <c r="S357" s="9" t="b">
        <f aca="false">FALSE()</f>
        <v>0</v>
      </c>
      <c r="T357" s="6"/>
      <c r="U357" s="6"/>
      <c r="V357" s="6"/>
      <c r="W357" s="6"/>
    </row>
    <row r="358" customFormat="false" ht="15" hidden="false" customHeight="false" outlineLevel="0" collapsed="false">
      <c r="A358" s="6" t="s">
        <v>2398</v>
      </c>
      <c r="B358" s="6" t="s">
        <v>2399</v>
      </c>
      <c r="C358" s="6" t="s">
        <v>2400</v>
      </c>
      <c r="D358" s="6" t="s">
        <v>39</v>
      </c>
      <c r="E358" s="6" t="s">
        <v>40</v>
      </c>
      <c r="F358" s="6" t="s">
        <v>2203</v>
      </c>
      <c r="G358" s="6" t="s">
        <v>2204</v>
      </c>
      <c r="H358" s="6" t="s">
        <v>1803</v>
      </c>
      <c r="I358" s="7" t="n">
        <v>3500</v>
      </c>
      <c r="J358" s="7" t="n">
        <v>5600</v>
      </c>
      <c r="K358" s="6" t="n">
        <v>0</v>
      </c>
      <c r="L358" s="6" t="n">
        <v>4</v>
      </c>
      <c r="M358" s="6" t="s">
        <v>51</v>
      </c>
      <c r="N358" s="6" t="s">
        <v>2401</v>
      </c>
      <c r="O358" s="8" t="b">
        <f aca="false">TRUE()</f>
        <v>1</v>
      </c>
      <c r="P358" s="6" t="s">
        <v>2402</v>
      </c>
      <c r="Q358" s="6" t="s">
        <v>2397</v>
      </c>
      <c r="R358" s="6" t="s">
        <v>2397</v>
      </c>
      <c r="S358" s="9" t="b">
        <f aca="false">FALSE()</f>
        <v>0</v>
      </c>
      <c r="T358" s="6"/>
      <c r="U358" s="6"/>
      <c r="V358" s="6"/>
      <c r="W358" s="6"/>
    </row>
    <row r="359" customFormat="false" ht="15" hidden="false" customHeight="false" outlineLevel="0" collapsed="false">
      <c r="A359" s="6" t="s">
        <v>2403</v>
      </c>
      <c r="B359" s="6" t="s">
        <v>2404</v>
      </c>
      <c r="C359" s="6" t="s">
        <v>2405</v>
      </c>
      <c r="D359" s="6" t="s">
        <v>39</v>
      </c>
      <c r="E359" s="6" t="s">
        <v>40</v>
      </c>
      <c r="F359" s="6" t="s">
        <v>2203</v>
      </c>
      <c r="G359" s="6" t="s">
        <v>2204</v>
      </c>
      <c r="H359" s="6" t="s">
        <v>1803</v>
      </c>
      <c r="I359" s="7" t="n">
        <v>3500</v>
      </c>
      <c r="J359" s="7" t="n">
        <v>5600</v>
      </c>
      <c r="K359" s="6" t="n">
        <v>0</v>
      </c>
      <c r="L359" s="6" t="n">
        <v>4</v>
      </c>
      <c r="M359" s="6" t="s">
        <v>51</v>
      </c>
      <c r="N359" s="6" t="s">
        <v>2406</v>
      </c>
      <c r="O359" s="8" t="b">
        <f aca="false">TRUE()</f>
        <v>1</v>
      </c>
      <c r="P359" s="6" t="s">
        <v>2407</v>
      </c>
      <c r="Q359" s="6" t="s">
        <v>2397</v>
      </c>
      <c r="R359" s="6" t="s">
        <v>2397</v>
      </c>
      <c r="S359" s="9" t="b">
        <f aca="false">FALSE()</f>
        <v>0</v>
      </c>
      <c r="T359" s="6"/>
      <c r="U359" s="6"/>
      <c r="V359" s="6"/>
      <c r="W359" s="6"/>
    </row>
    <row r="360" customFormat="false" ht="15" hidden="false" customHeight="false" outlineLevel="0" collapsed="false">
      <c r="A360" s="6" t="s">
        <v>2408</v>
      </c>
      <c r="B360" s="6" t="s">
        <v>2409</v>
      </c>
      <c r="C360" s="6" t="s">
        <v>2410</v>
      </c>
      <c r="D360" s="6" t="s">
        <v>39</v>
      </c>
      <c r="E360" s="6" t="s">
        <v>40</v>
      </c>
      <c r="F360" s="6" t="s">
        <v>2203</v>
      </c>
      <c r="G360" s="6" t="s">
        <v>2204</v>
      </c>
      <c r="H360" s="6" t="s">
        <v>1803</v>
      </c>
      <c r="I360" s="7" t="n">
        <v>3500</v>
      </c>
      <c r="J360" s="7" t="n">
        <v>5600</v>
      </c>
      <c r="K360" s="6" t="n">
        <v>0</v>
      </c>
      <c r="L360" s="6" t="n">
        <v>4</v>
      </c>
      <c r="M360" s="6" t="s">
        <v>51</v>
      </c>
      <c r="N360" s="6" t="s">
        <v>2411</v>
      </c>
      <c r="O360" s="8" t="b">
        <f aca="false">TRUE()</f>
        <v>1</v>
      </c>
      <c r="P360" s="6" t="s">
        <v>2412</v>
      </c>
      <c r="Q360" s="6" t="s">
        <v>2397</v>
      </c>
      <c r="R360" s="6" t="s">
        <v>2397</v>
      </c>
      <c r="S360" s="9" t="b">
        <f aca="false">FALSE()</f>
        <v>0</v>
      </c>
      <c r="T360" s="6"/>
      <c r="U360" s="6"/>
      <c r="V360" s="6"/>
      <c r="W360" s="6"/>
    </row>
    <row r="361" customFormat="false" ht="15" hidden="false" customHeight="false" outlineLevel="0" collapsed="false">
      <c r="A361" s="6" t="s">
        <v>2413</v>
      </c>
      <c r="B361" s="6" t="s">
        <v>2414</v>
      </c>
      <c r="C361" s="6" t="s">
        <v>2415</v>
      </c>
      <c r="D361" s="6" t="s">
        <v>39</v>
      </c>
      <c r="E361" s="6" t="s">
        <v>40</v>
      </c>
      <c r="F361" s="6" t="s">
        <v>2203</v>
      </c>
      <c r="G361" s="6" t="s">
        <v>2204</v>
      </c>
      <c r="H361" s="6" t="s">
        <v>1803</v>
      </c>
      <c r="I361" s="7" t="n">
        <v>3500</v>
      </c>
      <c r="J361" s="7" t="n">
        <v>5600</v>
      </c>
      <c r="K361" s="6" t="n">
        <v>0</v>
      </c>
      <c r="L361" s="6" t="n">
        <v>4</v>
      </c>
      <c r="M361" s="6" t="s">
        <v>51</v>
      </c>
      <c r="N361" s="6" t="s">
        <v>2416</v>
      </c>
      <c r="O361" s="8" t="b">
        <f aca="false">TRUE()</f>
        <v>1</v>
      </c>
      <c r="P361" s="6" t="s">
        <v>2417</v>
      </c>
      <c r="Q361" s="6" t="s">
        <v>2397</v>
      </c>
      <c r="R361" s="6" t="s">
        <v>2397</v>
      </c>
      <c r="S361" s="9" t="b">
        <f aca="false">FALSE()</f>
        <v>0</v>
      </c>
      <c r="T361" s="6"/>
      <c r="U361" s="6"/>
      <c r="V361" s="6"/>
      <c r="W361" s="6"/>
    </row>
    <row r="362" customFormat="false" ht="15" hidden="false" customHeight="false" outlineLevel="0" collapsed="false">
      <c r="A362" s="6" t="s">
        <v>2418</v>
      </c>
      <c r="B362" s="6" t="s">
        <v>2419</v>
      </c>
      <c r="C362" s="6" t="s">
        <v>2420</v>
      </c>
      <c r="D362" s="6" t="s">
        <v>39</v>
      </c>
      <c r="E362" s="6" t="s">
        <v>40</v>
      </c>
      <c r="F362" s="6" t="s">
        <v>2203</v>
      </c>
      <c r="G362" s="6" t="s">
        <v>2204</v>
      </c>
      <c r="H362" s="6" t="s">
        <v>1803</v>
      </c>
      <c r="I362" s="7" t="n">
        <v>3500</v>
      </c>
      <c r="J362" s="7" t="n">
        <v>5600</v>
      </c>
      <c r="K362" s="6" t="n">
        <v>0</v>
      </c>
      <c r="L362" s="6" t="n">
        <v>4</v>
      </c>
      <c r="M362" s="6" t="s">
        <v>51</v>
      </c>
      <c r="N362" s="6" t="s">
        <v>2421</v>
      </c>
      <c r="O362" s="8" t="b">
        <f aca="false">TRUE()</f>
        <v>1</v>
      </c>
      <c r="P362" s="6" t="s">
        <v>2422</v>
      </c>
      <c r="Q362" s="6" t="s">
        <v>2397</v>
      </c>
      <c r="R362" s="6" t="s">
        <v>2397</v>
      </c>
      <c r="S362" s="9" t="b">
        <f aca="false">FALSE()</f>
        <v>0</v>
      </c>
      <c r="T362" s="6"/>
      <c r="U362" s="6"/>
      <c r="V362" s="6"/>
      <c r="W362" s="6"/>
    </row>
    <row r="363" customFormat="false" ht="15" hidden="false" customHeight="false" outlineLevel="0" collapsed="false">
      <c r="A363" s="6" t="s">
        <v>2423</v>
      </c>
      <c r="B363" s="6" t="s">
        <v>2424</v>
      </c>
      <c r="C363" s="6" t="s">
        <v>2425</v>
      </c>
      <c r="D363" s="6" t="s">
        <v>39</v>
      </c>
      <c r="E363" s="6" t="s">
        <v>40</v>
      </c>
      <c r="F363" s="6" t="s">
        <v>2203</v>
      </c>
      <c r="G363" s="6" t="s">
        <v>2204</v>
      </c>
      <c r="H363" s="6" t="s">
        <v>1803</v>
      </c>
      <c r="I363" s="7" t="n">
        <v>3500</v>
      </c>
      <c r="J363" s="7" t="n">
        <v>5600</v>
      </c>
      <c r="K363" s="6" t="n">
        <v>0</v>
      </c>
      <c r="L363" s="6" t="n">
        <v>4</v>
      </c>
      <c r="M363" s="6" t="s">
        <v>51</v>
      </c>
      <c r="N363" s="6" t="s">
        <v>2426</v>
      </c>
      <c r="O363" s="8" t="b">
        <f aca="false">TRUE()</f>
        <v>1</v>
      </c>
      <c r="P363" s="6" t="s">
        <v>2427</v>
      </c>
      <c r="Q363" s="6" t="s">
        <v>2397</v>
      </c>
      <c r="R363" s="6" t="s">
        <v>2397</v>
      </c>
      <c r="S363" s="9" t="b">
        <f aca="false">FALSE()</f>
        <v>0</v>
      </c>
      <c r="T363" s="6"/>
      <c r="U363" s="6"/>
      <c r="V363" s="6"/>
      <c r="W363" s="6"/>
    </row>
    <row r="364" customFormat="false" ht="15" hidden="false" customHeight="false" outlineLevel="0" collapsed="false">
      <c r="A364" s="6" t="s">
        <v>2428</v>
      </c>
      <c r="B364" s="6" t="s">
        <v>2429</v>
      </c>
      <c r="C364" s="6" t="s">
        <v>2430</v>
      </c>
      <c r="D364" s="6" t="s">
        <v>39</v>
      </c>
      <c r="E364" s="6" t="s">
        <v>40</v>
      </c>
      <c r="F364" s="6" t="s">
        <v>2203</v>
      </c>
      <c r="G364" s="6" t="s">
        <v>2204</v>
      </c>
      <c r="H364" s="6" t="s">
        <v>1803</v>
      </c>
      <c r="I364" s="7" t="n">
        <v>3500</v>
      </c>
      <c r="J364" s="7" t="n">
        <v>5600</v>
      </c>
      <c r="K364" s="6" t="n">
        <v>0</v>
      </c>
      <c r="L364" s="6" t="n">
        <v>4</v>
      </c>
      <c r="M364" s="6" t="s">
        <v>1426</v>
      </c>
      <c r="N364" s="6" t="s">
        <v>2431</v>
      </c>
      <c r="O364" s="8" t="b">
        <f aca="false">TRUE()</f>
        <v>1</v>
      </c>
      <c r="P364" s="6" t="s">
        <v>2432</v>
      </c>
      <c r="Q364" s="6" t="s">
        <v>2397</v>
      </c>
      <c r="R364" s="6" t="s">
        <v>2397</v>
      </c>
      <c r="S364" s="9" t="b">
        <f aca="false">FALSE()</f>
        <v>0</v>
      </c>
      <c r="T364" s="6"/>
      <c r="U364" s="6"/>
      <c r="V364" s="6"/>
      <c r="W364" s="6"/>
    </row>
    <row r="365" customFormat="false" ht="15" hidden="false" customHeight="false" outlineLevel="0" collapsed="false">
      <c r="A365" s="6" t="s">
        <v>2433</v>
      </c>
      <c r="B365" s="6" t="s">
        <v>2434</v>
      </c>
      <c r="C365" s="6" t="s">
        <v>2435</v>
      </c>
      <c r="D365" s="6" t="s">
        <v>39</v>
      </c>
      <c r="E365" s="6" t="s">
        <v>40</v>
      </c>
      <c r="F365" s="6" t="s">
        <v>2203</v>
      </c>
      <c r="G365" s="6" t="s">
        <v>2204</v>
      </c>
      <c r="H365" s="6" t="s">
        <v>1803</v>
      </c>
      <c r="I365" s="7" t="n">
        <v>3500</v>
      </c>
      <c r="J365" s="7" t="n">
        <v>5600</v>
      </c>
      <c r="K365" s="6" t="n">
        <v>0</v>
      </c>
      <c r="L365" s="6" t="n">
        <v>4</v>
      </c>
      <c r="M365" s="6" t="s">
        <v>2436</v>
      </c>
      <c r="N365" s="6" t="s">
        <v>2437</v>
      </c>
      <c r="O365" s="8" t="b">
        <f aca="false">TRUE()</f>
        <v>1</v>
      </c>
      <c r="P365" s="6" t="s">
        <v>2438</v>
      </c>
      <c r="Q365" s="6" t="s">
        <v>2397</v>
      </c>
      <c r="R365" s="6" t="s">
        <v>2397</v>
      </c>
      <c r="S365" s="9" t="b">
        <f aca="false">FALSE()</f>
        <v>0</v>
      </c>
      <c r="T365" s="6"/>
      <c r="U365" s="6"/>
      <c r="V365" s="6"/>
      <c r="W365" s="6"/>
    </row>
    <row r="366" customFormat="false" ht="15" hidden="false" customHeight="false" outlineLevel="0" collapsed="false">
      <c r="A366" s="6" t="s">
        <v>2439</v>
      </c>
      <c r="B366" s="6" t="s">
        <v>2440</v>
      </c>
      <c r="C366" s="6" t="s">
        <v>2441</v>
      </c>
      <c r="D366" s="6" t="s">
        <v>39</v>
      </c>
      <c r="E366" s="6" t="s">
        <v>40</v>
      </c>
      <c r="F366" s="6" t="s">
        <v>2203</v>
      </c>
      <c r="G366" s="6" t="s">
        <v>2204</v>
      </c>
      <c r="H366" s="6" t="s">
        <v>1803</v>
      </c>
      <c r="I366" s="7" t="n">
        <v>3500</v>
      </c>
      <c r="J366" s="7" t="n">
        <v>5600</v>
      </c>
      <c r="K366" s="6" t="n">
        <v>0</v>
      </c>
      <c r="L366" s="6" t="n">
        <v>4</v>
      </c>
      <c r="M366" s="6" t="s">
        <v>51</v>
      </c>
      <c r="N366" s="6" t="s">
        <v>2442</v>
      </c>
      <c r="O366" s="8" t="b">
        <f aca="false">TRUE()</f>
        <v>1</v>
      </c>
      <c r="P366" s="6" t="s">
        <v>2443</v>
      </c>
      <c r="Q366" s="6" t="s">
        <v>2397</v>
      </c>
      <c r="R366" s="6" t="s">
        <v>2397</v>
      </c>
      <c r="S366" s="9" t="b">
        <f aca="false">FALSE()</f>
        <v>0</v>
      </c>
      <c r="T366" s="6"/>
      <c r="U366" s="6"/>
      <c r="V366" s="6"/>
      <c r="W366" s="6"/>
    </row>
    <row r="367" customFormat="false" ht="15" hidden="false" customHeight="false" outlineLevel="0" collapsed="false">
      <c r="A367" s="6" t="s">
        <v>2444</v>
      </c>
      <c r="B367" s="6" t="s">
        <v>2445</v>
      </c>
      <c r="C367" s="6" t="s">
        <v>2446</v>
      </c>
      <c r="D367" s="6" t="s">
        <v>39</v>
      </c>
      <c r="E367" s="6" t="s">
        <v>40</v>
      </c>
      <c r="F367" s="6" t="s">
        <v>2203</v>
      </c>
      <c r="G367" s="6" t="s">
        <v>2204</v>
      </c>
      <c r="H367" s="6" t="s">
        <v>1803</v>
      </c>
      <c r="I367" s="7" t="n">
        <v>3500</v>
      </c>
      <c r="J367" s="7" t="n">
        <v>5600</v>
      </c>
      <c r="K367" s="6" t="n">
        <v>0</v>
      </c>
      <c r="L367" s="6" t="n">
        <v>4</v>
      </c>
      <c r="M367" s="6" t="s">
        <v>51</v>
      </c>
      <c r="N367" s="6" t="s">
        <v>2447</v>
      </c>
      <c r="O367" s="8" t="b">
        <f aca="false">TRUE()</f>
        <v>1</v>
      </c>
      <c r="P367" s="6" t="s">
        <v>2448</v>
      </c>
      <c r="Q367" s="6" t="s">
        <v>2397</v>
      </c>
      <c r="R367" s="6" t="s">
        <v>2397</v>
      </c>
      <c r="S367" s="9" t="b">
        <f aca="false">FALSE()</f>
        <v>0</v>
      </c>
      <c r="T367" s="6"/>
      <c r="U367" s="6"/>
      <c r="V367" s="6"/>
      <c r="W367" s="6"/>
    </row>
    <row r="368" customFormat="false" ht="15" hidden="false" customHeight="false" outlineLevel="0" collapsed="false">
      <c r="A368" s="6" t="s">
        <v>2449</v>
      </c>
      <c r="B368" s="6" t="s">
        <v>2450</v>
      </c>
      <c r="C368" s="6" t="s">
        <v>2451</v>
      </c>
      <c r="D368" s="6" t="s">
        <v>39</v>
      </c>
      <c r="E368" s="6" t="s">
        <v>40</v>
      </c>
      <c r="F368" s="6" t="s">
        <v>2203</v>
      </c>
      <c r="G368" s="6" t="s">
        <v>2204</v>
      </c>
      <c r="H368" s="6" t="s">
        <v>1803</v>
      </c>
      <c r="I368" s="7" t="n">
        <v>3500</v>
      </c>
      <c r="J368" s="7" t="n">
        <v>5600</v>
      </c>
      <c r="K368" s="6" t="n">
        <v>0</v>
      </c>
      <c r="L368" s="6" t="n">
        <v>4</v>
      </c>
      <c r="M368" s="6" t="s">
        <v>51</v>
      </c>
      <c r="N368" s="6" t="s">
        <v>2452</v>
      </c>
      <c r="O368" s="8" t="b">
        <f aca="false">TRUE()</f>
        <v>1</v>
      </c>
      <c r="P368" s="6" t="s">
        <v>2453</v>
      </c>
      <c r="Q368" s="6" t="s">
        <v>2397</v>
      </c>
      <c r="R368" s="6" t="s">
        <v>2397</v>
      </c>
      <c r="S368" s="9" t="b">
        <f aca="false">FALSE()</f>
        <v>0</v>
      </c>
      <c r="T368" s="6"/>
      <c r="U368" s="6"/>
      <c r="V368" s="6"/>
      <c r="W368" s="6"/>
    </row>
    <row r="369" customFormat="false" ht="15" hidden="false" customHeight="false" outlineLevel="0" collapsed="false">
      <c r="A369" s="6" t="s">
        <v>2454</v>
      </c>
      <c r="B369" s="6" t="s">
        <v>2455</v>
      </c>
      <c r="C369" s="6" t="s">
        <v>2456</v>
      </c>
      <c r="D369" s="6" t="s">
        <v>39</v>
      </c>
      <c r="E369" s="6" t="s">
        <v>40</v>
      </c>
      <c r="F369" s="6" t="s">
        <v>2203</v>
      </c>
      <c r="G369" s="6" t="s">
        <v>2204</v>
      </c>
      <c r="H369" s="6" t="s">
        <v>1803</v>
      </c>
      <c r="I369" s="7" t="n">
        <v>3500</v>
      </c>
      <c r="J369" s="7" t="n">
        <v>5600</v>
      </c>
      <c r="K369" s="6" t="n">
        <v>0</v>
      </c>
      <c r="L369" s="6" t="n">
        <v>4</v>
      </c>
      <c r="M369" s="6" t="s">
        <v>51</v>
      </c>
      <c r="N369" s="6" t="s">
        <v>2457</v>
      </c>
      <c r="O369" s="8" t="b">
        <f aca="false">TRUE()</f>
        <v>1</v>
      </c>
      <c r="P369" s="6" t="s">
        <v>2458</v>
      </c>
      <c r="Q369" s="6" t="s">
        <v>2397</v>
      </c>
      <c r="R369" s="6" t="s">
        <v>2397</v>
      </c>
      <c r="S369" s="9" t="b">
        <f aca="false">FALSE()</f>
        <v>0</v>
      </c>
      <c r="T369" s="6"/>
      <c r="U369" s="6"/>
      <c r="V369" s="6"/>
      <c r="W369" s="6"/>
    </row>
    <row r="370" customFormat="false" ht="15" hidden="false" customHeight="false" outlineLevel="0" collapsed="false">
      <c r="A370" s="6" t="s">
        <v>2459</v>
      </c>
      <c r="B370" s="6" t="s">
        <v>2460</v>
      </c>
      <c r="C370" s="6" t="s">
        <v>2461</v>
      </c>
      <c r="D370" s="6" t="s">
        <v>39</v>
      </c>
      <c r="E370" s="6" t="s">
        <v>40</v>
      </c>
      <c r="F370" s="6" t="s">
        <v>2203</v>
      </c>
      <c r="G370" s="6" t="s">
        <v>2204</v>
      </c>
      <c r="H370" s="6" t="s">
        <v>1803</v>
      </c>
      <c r="I370" s="7" t="n">
        <v>3500</v>
      </c>
      <c r="J370" s="7" t="n">
        <v>5600</v>
      </c>
      <c r="K370" s="6" t="n">
        <v>0</v>
      </c>
      <c r="L370" s="6" t="n">
        <v>4</v>
      </c>
      <c r="M370" s="6" t="s">
        <v>51</v>
      </c>
      <c r="N370" s="6" t="s">
        <v>2462</v>
      </c>
      <c r="O370" s="8" t="b">
        <f aca="false">TRUE()</f>
        <v>1</v>
      </c>
      <c r="P370" s="6" t="s">
        <v>2463</v>
      </c>
      <c r="Q370" s="6" t="s">
        <v>2397</v>
      </c>
      <c r="R370" s="6" t="s">
        <v>2397</v>
      </c>
      <c r="S370" s="9" t="b">
        <f aca="false">FALSE()</f>
        <v>0</v>
      </c>
      <c r="T370" s="6"/>
      <c r="U370" s="6"/>
      <c r="V370" s="6"/>
      <c r="W370" s="6"/>
    </row>
    <row r="371" customFormat="false" ht="15" hidden="false" customHeight="false" outlineLevel="0" collapsed="false">
      <c r="A371" s="6" t="s">
        <v>2464</v>
      </c>
      <c r="B371" s="6" t="s">
        <v>2465</v>
      </c>
      <c r="C371" s="6" t="s">
        <v>2466</v>
      </c>
      <c r="D371" s="6" t="s">
        <v>39</v>
      </c>
      <c r="E371" s="6" t="s">
        <v>40</v>
      </c>
      <c r="F371" s="6" t="s">
        <v>2203</v>
      </c>
      <c r="G371" s="6" t="s">
        <v>2204</v>
      </c>
      <c r="H371" s="6" t="s">
        <v>1803</v>
      </c>
      <c r="I371" s="7" t="n">
        <v>3500</v>
      </c>
      <c r="J371" s="7" t="n">
        <v>5600</v>
      </c>
      <c r="K371" s="6" t="n">
        <v>0</v>
      </c>
      <c r="L371" s="6" t="n">
        <v>4</v>
      </c>
      <c r="M371" s="6" t="s">
        <v>51</v>
      </c>
      <c r="N371" s="6" t="s">
        <v>2467</v>
      </c>
      <c r="O371" s="8" t="b">
        <f aca="false">TRUE()</f>
        <v>1</v>
      </c>
      <c r="P371" s="6" t="s">
        <v>2468</v>
      </c>
      <c r="Q371" s="6" t="s">
        <v>2397</v>
      </c>
      <c r="R371" s="6" t="s">
        <v>2397</v>
      </c>
      <c r="S371" s="9" t="b">
        <f aca="false">FALSE()</f>
        <v>0</v>
      </c>
      <c r="T371" s="6"/>
      <c r="U371" s="6"/>
      <c r="V371" s="6"/>
      <c r="W371" s="6"/>
    </row>
    <row r="372" customFormat="false" ht="15" hidden="false" customHeight="false" outlineLevel="0" collapsed="false">
      <c r="A372" s="6" t="s">
        <v>2469</v>
      </c>
      <c r="B372" s="6" t="s">
        <v>2470</v>
      </c>
      <c r="C372" s="6" t="s">
        <v>2471</v>
      </c>
      <c r="D372" s="6" t="s">
        <v>39</v>
      </c>
      <c r="E372" s="6" t="s">
        <v>40</v>
      </c>
      <c r="F372" s="6" t="s">
        <v>2203</v>
      </c>
      <c r="G372" s="6" t="s">
        <v>2204</v>
      </c>
      <c r="H372" s="6" t="s">
        <v>1803</v>
      </c>
      <c r="I372" s="7" t="n">
        <v>3500</v>
      </c>
      <c r="J372" s="7" t="n">
        <v>5600</v>
      </c>
      <c r="K372" s="6" t="n">
        <v>0</v>
      </c>
      <c r="L372" s="6" t="n">
        <v>4</v>
      </c>
      <c r="M372" s="6" t="s">
        <v>51</v>
      </c>
      <c r="N372" s="6" t="s">
        <v>2472</v>
      </c>
      <c r="O372" s="8" t="b">
        <f aca="false">TRUE()</f>
        <v>1</v>
      </c>
      <c r="P372" s="6" t="s">
        <v>2473</v>
      </c>
      <c r="Q372" s="6" t="s">
        <v>2474</v>
      </c>
      <c r="R372" s="6" t="s">
        <v>2474</v>
      </c>
      <c r="S372" s="9" t="b">
        <f aca="false">FALSE()</f>
        <v>0</v>
      </c>
      <c r="T372" s="6"/>
      <c r="U372" s="6"/>
      <c r="V372" s="6"/>
      <c r="W372" s="6"/>
    </row>
    <row r="373" customFormat="false" ht="15" hidden="false" customHeight="false" outlineLevel="0" collapsed="false">
      <c r="A373" s="6" t="s">
        <v>2475</v>
      </c>
      <c r="B373" s="6" t="s">
        <v>2476</v>
      </c>
      <c r="C373" s="6" t="s">
        <v>2477</v>
      </c>
      <c r="D373" s="6" t="s">
        <v>39</v>
      </c>
      <c r="E373" s="6" t="s">
        <v>40</v>
      </c>
      <c r="F373" s="6" t="s">
        <v>2203</v>
      </c>
      <c r="G373" s="6" t="s">
        <v>2204</v>
      </c>
      <c r="H373" s="6" t="s">
        <v>1803</v>
      </c>
      <c r="I373" s="7" t="n">
        <v>3500</v>
      </c>
      <c r="J373" s="7" t="n">
        <v>5600</v>
      </c>
      <c r="K373" s="6" t="n">
        <v>0</v>
      </c>
      <c r="L373" s="6" t="n">
        <v>4</v>
      </c>
      <c r="M373" s="6" t="s">
        <v>51</v>
      </c>
      <c r="N373" s="6" t="s">
        <v>2478</v>
      </c>
      <c r="O373" s="8" t="b">
        <f aca="false">TRUE()</f>
        <v>1</v>
      </c>
      <c r="P373" s="6" t="s">
        <v>2479</v>
      </c>
      <c r="Q373" s="6" t="s">
        <v>2474</v>
      </c>
      <c r="R373" s="6" t="s">
        <v>2474</v>
      </c>
      <c r="S373" s="9" t="b">
        <f aca="false">FALSE()</f>
        <v>0</v>
      </c>
      <c r="T373" s="6"/>
      <c r="U373" s="6"/>
      <c r="V373" s="6"/>
      <c r="W373" s="6"/>
    </row>
    <row r="374" customFormat="false" ht="15" hidden="false" customHeight="false" outlineLevel="0" collapsed="false">
      <c r="A374" s="6" t="s">
        <v>2480</v>
      </c>
      <c r="B374" s="6" t="s">
        <v>2481</v>
      </c>
      <c r="C374" s="6" t="s">
        <v>2482</v>
      </c>
      <c r="D374" s="6" t="s">
        <v>39</v>
      </c>
      <c r="E374" s="6" t="s">
        <v>40</v>
      </c>
      <c r="F374" s="6" t="s">
        <v>2203</v>
      </c>
      <c r="G374" s="6" t="s">
        <v>2204</v>
      </c>
      <c r="H374" s="6" t="s">
        <v>1803</v>
      </c>
      <c r="I374" s="7" t="n">
        <v>3500</v>
      </c>
      <c r="J374" s="7" t="n">
        <v>5600</v>
      </c>
      <c r="K374" s="6" t="n">
        <v>0</v>
      </c>
      <c r="L374" s="6" t="n">
        <v>4</v>
      </c>
      <c r="M374" s="6" t="s">
        <v>51</v>
      </c>
      <c r="N374" s="6" t="s">
        <v>2483</v>
      </c>
      <c r="O374" s="8" t="b">
        <f aca="false">TRUE()</f>
        <v>1</v>
      </c>
      <c r="P374" s="6" t="s">
        <v>2484</v>
      </c>
      <c r="Q374" s="6" t="s">
        <v>2474</v>
      </c>
      <c r="R374" s="6" t="s">
        <v>2474</v>
      </c>
      <c r="S374" s="9" t="b">
        <f aca="false">FALSE()</f>
        <v>0</v>
      </c>
      <c r="T374" s="6"/>
      <c r="U374" s="6"/>
      <c r="V374" s="6"/>
      <c r="W374" s="6"/>
    </row>
    <row r="375" customFormat="false" ht="15" hidden="false" customHeight="false" outlineLevel="0" collapsed="false">
      <c r="A375" s="6" t="s">
        <v>2485</v>
      </c>
      <c r="B375" s="6" t="s">
        <v>2486</v>
      </c>
      <c r="C375" s="6" t="s">
        <v>2487</v>
      </c>
      <c r="D375" s="6" t="s">
        <v>39</v>
      </c>
      <c r="E375" s="6" t="s">
        <v>40</v>
      </c>
      <c r="F375" s="6" t="s">
        <v>2203</v>
      </c>
      <c r="G375" s="6" t="s">
        <v>2204</v>
      </c>
      <c r="H375" s="6" t="s">
        <v>1803</v>
      </c>
      <c r="I375" s="7" t="n">
        <v>3500</v>
      </c>
      <c r="J375" s="7" t="n">
        <v>5600</v>
      </c>
      <c r="K375" s="6" t="n">
        <v>0</v>
      </c>
      <c r="L375" s="6" t="n">
        <v>4</v>
      </c>
      <c r="M375" s="6" t="s">
        <v>1409</v>
      </c>
      <c r="N375" s="6" t="s">
        <v>2488</v>
      </c>
      <c r="O375" s="8" t="b">
        <f aca="false">TRUE()</f>
        <v>1</v>
      </c>
      <c r="P375" s="6" t="s">
        <v>2489</v>
      </c>
      <c r="Q375" s="6" t="s">
        <v>2474</v>
      </c>
      <c r="R375" s="6" t="s">
        <v>2474</v>
      </c>
      <c r="S375" s="9" t="b">
        <f aca="false">FALSE()</f>
        <v>0</v>
      </c>
      <c r="T375" s="6"/>
      <c r="U375" s="6"/>
      <c r="V375" s="6"/>
      <c r="W375" s="6"/>
    </row>
    <row r="376" customFormat="false" ht="15" hidden="false" customHeight="false" outlineLevel="0" collapsed="false">
      <c r="A376" s="6" t="s">
        <v>2490</v>
      </c>
      <c r="B376" s="6" t="s">
        <v>2491</v>
      </c>
      <c r="C376" s="6" t="s">
        <v>2492</v>
      </c>
      <c r="D376" s="6" t="s">
        <v>39</v>
      </c>
      <c r="E376" s="6" t="s">
        <v>40</v>
      </c>
      <c r="F376" s="6" t="s">
        <v>2203</v>
      </c>
      <c r="G376" s="6" t="s">
        <v>2204</v>
      </c>
      <c r="H376" s="6" t="s">
        <v>1803</v>
      </c>
      <c r="I376" s="7" t="n">
        <v>3500</v>
      </c>
      <c r="J376" s="7" t="n">
        <v>5600</v>
      </c>
      <c r="K376" s="6" t="n">
        <v>0</v>
      </c>
      <c r="L376" s="6" t="n">
        <v>4</v>
      </c>
      <c r="M376" s="6" t="s">
        <v>1409</v>
      </c>
      <c r="N376" s="6" t="s">
        <v>2493</v>
      </c>
      <c r="O376" s="8" t="b">
        <f aca="false">TRUE()</f>
        <v>1</v>
      </c>
      <c r="P376" s="6" t="s">
        <v>2494</v>
      </c>
      <c r="Q376" s="6" t="s">
        <v>2474</v>
      </c>
      <c r="R376" s="6" t="s">
        <v>2474</v>
      </c>
      <c r="S376" s="9" t="b">
        <f aca="false">FALSE()</f>
        <v>0</v>
      </c>
      <c r="T376" s="6"/>
      <c r="U376" s="6"/>
      <c r="V376" s="6"/>
      <c r="W376" s="6"/>
    </row>
    <row r="377" customFormat="false" ht="15" hidden="false" customHeight="false" outlineLevel="0" collapsed="false">
      <c r="A377" s="6" t="s">
        <v>2495</v>
      </c>
      <c r="B377" s="6" t="s">
        <v>2496</v>
      </c>
      <c r="C377" s="6" t="s">
        <v>2497</v>
      </c>
      <c r="D377" s="6" t="s">
        <v>39</v>
      </c>
      <c r="E377" s="6" t="s">
        <v>40</v>
      </c>
      <c r="F377" s="6" t="s">
        <v>2203</v>
      </c>
      <c r="G377" s="6" t="s">
        <v>2204</v>
      </c>
      <c r="H377" s="6" t="s">
        <v>1803</v>
      </c>
      <c r="I377" s="7" t="n">
        <v>3500</v>
      </c>
      <c r="J377" s="7" t="n">
        <v>5600</v>
      </c>
      <c r="K377" s="6" t="n">
        <v>0</v>
      </c>
      <c r="L377" s="6" t="n">
        <v>4</v>
      </c>
      <c r="M377" s="6" t="s">
        <v>1409</v>
      </c>
      <c r="N377" s="6" t="s">
        <v>2498</v>
      </c>
      <c r="O377" s="8" t="b">
        <f aca="false">TRUE()</f>
        <v>1</v>
      </c>
      <c r="P377" s="6" t="s">
        <v>2499</v>
      </c>
      <c r="Q377" s="6" t="s">
        <v>2474</v>
      </c>
      <c r="R377" s="6" t="s">
        <v>2474</v>
      </c>
      <c r="S377" s="9" t="b">
        <f aca="false">FALSE()</f>
        <v>0</v>
      </c>
      <c r="T377" s="6"/>
      <c r="U377" s="6"/>
      <c r="V377" s="6"/>
      <c r="W377" s="6"/>
    </row>
    <row r="378" customFormat="false" ht="15" hidden="false" customHeight="false" outlineLevel="0" collapsed="false">
      <c r="A378" s="6" t="s">
        <v>2500</v>
      </c>
      <c r="B378" s="6" t="s">
        <v>2501</v>
      </c>
      <c r="C378" s="6" t="s">
        <v>2502</v>
      </c>
      <c r="D378" s="6" t="s">
        <v>39</v>
      </c>
      <c r="E378" s="6" t="s">
        <v>40</v>
      </c>
      <c r="F378" s="6" t="s">
        <v>2203</v>
      </c>
      <c r="G378" s="6" t="s">
        <v>2204</v>
      </c>
      <c r="H378" s="6" t="s">
        <v>1803</v>
      </c>
      <c r="I378" s="7" t="n">
        <v>3500</v>
      </c>
      <c r="J378" s="7" t="n">
        <v>5600</v>
      </c>
      <c r="K378" s="6" t="n">
        <v>0</v>
      </c>
      <c r="L378" s="6" t="n">
        <v>4</v>
      </c>
      <c r="M378" s="6" t="s">
        <v>1409</v>
      </c>
      <c r="N378" s="6" t="s">
        <v>2503</v>
      </c>
      <c r="O378" s="8" t="b">
        <f aca="false">TRUE()</f>
        <v>1</v>
      </c>
      <c r="P378" s="6" t="s">
        <v>2504</v>
      </c>
      <c r="Q378" s="6" t="s">
        <v>2474</v>
      </c>
      <c r="R378" s="6" t="s">
        <v>2474</v>
      </c>
      <c r="S378" s="10" t="b">
        <f aca="false">TRUE()</f>
        <v>1</v>
      </c>
      <c r="T378" s="6" t="s">
        <v>2505</v>
      </c>
      <c r="U378" s="6" t="s">
        <v>73</v>
      </c>
      <c r="V378" s="6" t="s">
        <v>2506</v>
      </c>
      <c r="W378" s="6" t="s">
        <v>92</v>
      </c>
    </row>
    <row r="379" customFormat="false" ht="15" hidden="false" customHeight="false" outlineLevel="0" collapsed="false">
      <c r="A379" s="6" t="s">
        <v>2507</v>
      </c>
      <c r="B379" s="6" t="s">
        <v>2508</v>
      </c>
      <c r="C379" s="6" t="s">
        <v>2509</v>
      </c>
      <c r="D379" s="6" t="s">
        <v>39</v>
      </c>
      <c r="E379" s="6" t="s">
        <v>40</v>
      </c>
      <c r="F379" s="6" t="s">
        <v>2203</v>
      </c>
      <c r="G379" s="6" t="s">
        <v>2204</v>
      </c>
      <c r="H379" s="6" t="s">
        <v>1803</v>
      </c>
      <c r="I379" s="7" t="n">
        <v>3500</v>
      </c>
      <c r="J379" s="7" t="n">
        <v>5600</v>
      </c>
      <c r="K379" s="6" t="n">
        <v>0</v>
      </c>
      <c r="L379" s="6" t="n">
        <v>4</v>
      </c>
      <c r="M379" s="6" t="s">
        <v>1409</v>
      </c>
      <c r="N379" s="6" t="s">
        <v>2510</v>
      </c>
      <c r="O379" s="8" t="b">
        <f aca="false">TRUE()</f>
        <v>1</v>
      </c>
      <c r="P379" s="6" t="s">
        <v>2511</v>
      </c>
      <c r="Q379" s="6" t="s">
        <v>2474</v>
      </c>
      <c r="R379" s="6" t="s">
        <v>2474</v>
      </c>
      <c r="S379" s="9" t="b">
        <f aca="false">FALSE()</f>
        <v>0</v>
      </c>
      <c r="T379" s="6"/>
      <c r="U379" s="6"/>
      <c r="V379" s="6"/>
      <c r="W379" s="6"/>
    </row>
    <row r="380" customFormat="false" ht="15" hidden="false" customHeight="false" outlineLevel="0" collapsed="false">
      <c r="A380" s="6" t="s">
        <v>2512</v>
      </c>
      <c r="B380" s="6" t="s">
        <v>2513</v>
      </c>
      <c r="C380" s="6" t="s">
        <v>2514</v>
      </c>
      <c r="D380" s="6" t="s">
        <v>39</v>
      </c>
      <c r="E380" s="6" t="s">
        <v>40</v>
      </c>
      <c r="F380" s="6" t="s">
        <v>2203</v>
      </c>
      <c r="G380" s="6" t="s">
        <v>2204</v>
      </c>
      <c r="H380" s="6" t="s">
        <v>1803</v>
      </c>
      <c r="I380" s="7" t="n">
        <v>3500</v>
      </c>
      <c r="J380" s="7" t="n">
        <v>5600</v>
      </c>
      <c r="K380" s="6" t="n">
        <v>0</v>
      </c>
      <c r="L380" s="6" t="n">
        <v>4</v>
      </c>
      <c r="M380" s="6" t="s">
        <v>1409</v>
      </c>
      <c r="N380" s="6" t="s">
        <v>2515</v>
      </c>
      <c r="O380" s="8" t="b">
        <f aca="false">TRUE()</f>
        <v>1</v>
      </c>
      <c r="P380" s="6" t="s">
        <v>2516</v>
      </c>
      <c r="Q380" s="6" t="s">
        <v>2474</v>
      </c>
      <c r="R380" s="6" t="s">
        <v>2474</v>
      </c>
      <c r="S380" s="9" t="b">
        <f aca="false">FALSE()</f>
        <v>0</v>
      </c>
      <c r="T380" s="6"/>
      <c r="U380" s="6"/>
      <c r="V380" s="6"/>
      <c r="W380" s="6"/>
    </row>
    <row r="381" customFormat="false" ht="15" hidden="false" customHeight="false" outlineLevel="0" collapsed="false">
      <c r="A381" s="6" t="s">
        <v>2517</v>
      </c>
      <c r="B381" s="6" t="s">
        <v>2518</v>
      </c>
      <c r="C381" s="6" t="s">
        <v>2519</v>
      </c>
      <c r="D381" s="6" t="s">
        <v>39</v>
      </c>
      <c r="E381" s="6" t="s">
        <v>40</v>
      </c>
      <c r="F381" s="6" t="s">
        <v>2203</v>
      </c>
      <c r="G381" s="6" t="s">
        <v>2204</v>
      </c>
      <c r="H381" s="6" t="s">
        <v>1803</v>
      </c>
      <c r="I381" s="7" t="n">
        <v>3500</v>
      </c>
      <c r="J381" s="7" t="n">
        <v>5600</v>
      </c>
      <c r="K381" s="6" t="n">
        <v>0</v>
      </c>
      <c r="L381" s="6" t="n">
        <v>4</v>
      </c>
      <c r="M381" s="6" t="s">
        <v>1409</v>
      </c>
      <c r="N381" s="6" t="s">
        <v>2520</v>
      </c>
      <c r="O381" s="8" t="b">
        <f aca="false">TRUE()</f>
        <v>1</v>
      </c>
      <c r="P381" s="6" t="s">
        <v>2521</v>
      </c>
      <c r="Q381" s="6" t="s">
        <v>2474</v>
      </c>
      <c r="R381" s="6" t="s">
        <v>2474</v>
      </c>
      <c r="S381" s="9" t="b">
        <f aca="false">FALSE()</f>
        <v>0</v>
      </c>
      <c r="T381" s="6"/>
      <c r="U381" s="6"/>
      <c r="V381" s="6"/>
      <c r="W381" s="6"/>
    </row>
    <row r="382" customFormat="false" ht="15" hidden="false" customHeight="false" outlineLevel="0" collapsed="false">
      <c r="A382" s="6" t="s">
        <v>2522</v>
      </c>
      <c r="B382" s="6" t="s">
        <v>2523</v>
      </c>
      <c r="C382" s="6" t="s">
        <v>2524</v>
      </c>
      <c r="D382" s="6" t="s">
        <v>39</v>
      </c>
      <c r="E382" s="6" t="s">
        <v>40</v>
      </c>
      <c r="F382" s="6" t="s">
        <v>2203</v>
      </c>
      <c r="G382" s="6" t="s">
        <v>2204</v>
      </c>
      <c r="H382" s="6" t="s">
        <v>1803</v>
      </c>
      <c r="I382" s="7" t="n">
        <v>3500</v>
      </c>
      <c r="J382" s="7" t="n">
        <v>5600</v>
      </c>
      <c r="K382" s="6" t="n">
        <v>0</v>
      </c>
      <c r="L382" s="6" t="n">
        <v>4</v>
      </c>
      <c r="M382" s="6" t="s">
        <v>1409</v>
      </c>
      <c r="N382" s="6" t="s">
        <v>2525</v>
      </c>
      <c r="O382" s="8" t="b">
        <f aca="false">TRUE()</f>
        <v>1</v>
      </c>
      <c r="P382" s="6" t="s">
        <v>2526</v>
      </c>
      <c r="Q382" s="6" t="s">
        <v>2474</v>
      </c>
      <c r="R382" s="6" t="s">
        <v>2474</v>
      </c>
      <c r="S382" s="9" t="b">
        <f aca="false">FALSE()</f>
        <v>0</v>
      </c>
      <c r="T382" s="6"/>
      <c r="U382" s="6"/>
      <c r="V382" s="6"/>
      <c r="W382" s="6"/>
    </row>
    <row r="383" customFormat="false" ht="15" hidden="false" customHeight="false" outlineLevel="0" collapsed="false">
      <c r="A383" s="6" t="s">
        <v>2527</v>
      </c>
      <c r="B383" s="6" t="s">
        <v>2528</v>
      </c>
      <c r="C383" s="6" t="s">
        <v>2529</v>
      </c>
      <c r="D383" s="6" t="s">
        <v>39</v>
      </c>
      <c r="E383" s="6" t="s">
        <v>40</v>
      </c>
      <c r="F383" s="6" t="s">
        <v>2203</v>
      </c>
      <c r="G383" s="6" t="s">
        <v>2204</v>
      </c>
      <c r="H383" s="6" t="s">
        <v>1803</v>
      </c>
      <c r="I383" s="7" t="n">
        <v>3500</v>
      </c>
      <c r="J383" s="7" t="n">
        <v>5600</v>
      </c>
      <c r="K383" s="6" t="n">
        <v>0</v>
      </c>
      <c r="L383" s="6" t="n">
        <v>4</v>
      </c>
      <c r="M383" s="6" t="s">
        <v>1409</v>
      </c>
      <c r="N383" s="6" t="s">
        <v>2530</v>
      </c>
      <c r="O383" s="8" t="b">
        <f aca="false">TRUE()</f>
        <v>1</v>
      </c>
      <c r="P383" s="6" t="s">
        <v>2531</v>
      </c>
      <c r="Q383" s="6" t="s">
        <v>2474</v>
      </c>
      <c r="R383" s="6" t="s">
        <v>2474</v>
      </c>
      <c r="S383" s="9" t="b">
        <f aca="false">FALSE()</f>
        <v>0</v>
      </c>
      <c r="T383" s="6"/>
      <c r="U383" s="6"/>
      <c r="V383" s="6"/>
      <c r="W383" s="6"/>
    </row>
    <row r="384" customFormat="false" ht="15" hidden="false" customHeight="false" outlineLevel="0" collapsed="false">
      <c r="A384" s="6" t="s">
        <v>2532</v>
      </c>
      <c r="B384" s="6" t="s">
        <v>2533</v>
      </c>
      <c r="C384" s="6" t="s">
        <v>2534</v>
      </c>
      <c r="D384" s="6" t="s">
        <v>39</v>
      </c>
      <c r="E384" s="6" t="s">
        <v>40</v>
      </c>
      <c r="F384" s="6"/>
      <c r="G384" s="6" t="s">
        <v>2203</v>
      </c>
      <c r="H384" s="6" t="s">
        <v>2535</v>
      </c>
      <c r="I384" s="7" t="n">
        <v>1499</v>
      </c>
      <c r="J384" s="7" t="n">
        <v>2999</v>
      </c>
      <c r="K384" s="6" t="n">
        <v>0</v>
      </c>
      <c r="L384" s="6" t="n">
        <v>3</v>
      </c>
      <c r="M384" s="6" t="s">
        <v>270</v>
      </c>
      <c r="N384" s="6" t="s">
        <v>2536</v>
      </c>
      <c r="O384" s="8" t="b">
        <f aca="false">TRUE()</f>
        <v>1</v>
      </c>
      <c r="P384" s="6" t="s">
        <v>2537</v>
      </c>
      <c r="Q384" s="6" t="s">
        <v>2474</v>
      </c>
      <c r="R384" s="6" t="s">
        <v>2474</v>
      </c>
      <c r="S384" s="9" t="b">
        <f aca="false">FALSE()</f>
        <v>0</v>
      </c>
      <c r="T384" s="6"/>
      <c r="U384" s="6"/>
      <c r="V384" s="6"/>
      <c r="W384" s="6"/>
    </row>
    <row r="385" customFormat="false" ht="15" hidden="false" customHeight="false" outlineLevel="0" collapsed="false">
      <c r="A385" s="6" t="s">
        <v>2538</v>
      </c>
      <c r="B385" s="6" t="s">
        <v>2539</v>
      </c>
      <c r="C385" s="6" t="s">
        <v>2540</v>
      </c>
      <c r="D385" s="6" t="s">
        <v>39</v>
      </c>
      <c r="E385" s="6" t="s">
        <v>40</v>
      </c>
      <c r="F385" s="6"/>
      <c r="G385" s="6" t="s">
        <v>2203</v>
      </c>
      <c r="H385" s="6" t="s">
        <v>2535</v>
      </c>
      <c r="I385" s="7" t="n">
        <v>1999</v>
      </c>
      <c r="J385" s="7" t="n">
        <v>3999</v>
      </c>
      <c r="K385" s="6" t="n">
        <v>0</v>
      </c>
      <c r="L385" s="6" t="n">
        <v>3</v>
      </c>
      <c r="M385" s="6" t="s">
        <v>166</v>
      </c>
      <c r="N385" s="6" t="s">
        <v>2541</v>
      </c>
      <c r="O385" s="8" t="b">
        <f aca="false">TRUE()</f>
        <v>1</v>
      </c>
      <c r="P385" s="6" t="s">
        <v>2542</v>
      </c>
      <c r="Q385" s="6" t="s">
        <v>2474</v>
      </c>
      <c r="R385" s="6" t="s">
        <v>2474</v>
      </c>
      <c r="S385" s="9" t="b">
        <f aca="false">FALSE()</f>
        <v>0</v>
      </c>
      <c r="T385" s="6"/>
      <c r="U385" s="6"/>
      <c r="V385" s="6"/>
      <c r="W385" s="6"/>
    </row>
    <row r="386" customFormat="false" ht="15" hidden="false" customHeight="false" outlineLevel="0" collapsed="false">
      <c r="A386" s="6" t="s">
        <v>2543</v>
      </c>
      <c r="B386" s="6" t="s">
        <v>2544</v>
      </c>
      <c r="C386" s="6" t="s">
        <v>2545</v>
      </c>
      <c r="D386" s="6" t="s">
        <v>39</v>
      </c>
      <c r="E386" s="6" t="s">
        <v>40</v>
      </c>
      <c r="F386" s="6"/>
      <c r="G386" s="6" t="s">
        <v>2203</v>
      </c>
      <c r="H386" s="6" t="s">
        <v>2535</v>
      </c>
      <c r="I386" s="7" t="n">
        <v>1999</v>
      </c>
      <c r="J386" s="7" t="n">
        <v>3999</v>
      </c>
      <c r="K386" s="6" t="n">
        <v>0</v>
      </c>
      <c r="L386" s="6" t="n">
        <v>3</v>
      </c>
      <c r="M386" s="6" t="s">
        <v>166</v>
      </c>
      <c r="N386" s="6" t="s">
        <v>2546</v>
      </c>
      <c r="O386" s="8" t="b">
        <f aca="false">TRUE()</f>
        <v>1</v>
      </c>
      <c r="P386" s="6" t="s">
        <v>2547</v>
      </c>
      <c r="Q386" s="6" t="s">
        <v>2474</v>
      </c>
      <c r="R386" s="6" t="s">
        <v>2474</v>
      </c>
      <c r="S386" s="9" t="b">
        <f aca="false">FALSE()</f>
        <v>0</v>
      </c>
      <c r="T386" s="6"/>
      <c r="U386" s="6"/>
      <c r="V386" s="6"/>
      <c r="W386" s="6"/>
    </row>
    <row r="387" customFormat="false" ht="15" hidden="false" customHeight="false" outlineLevel="0" collapsed="false">
      <c r="A387" s="6" t="s">
        <v>2548</v>
      </c>
      <c r="B387" s="6" t="s">
        <v>2549</v>
      </c>
      <c r="C387" s="6" t="s">
        <v>2550</v>
      </c>
      <c r="D387" s="6" t="s">
        <v>39</v>
      </c>
      <c r="E387" s="6" t="s">
        <v>40</v>
      </c>
      <c r="F387" s="6" t="s">
        <v>2203</v>
      </c>
      <c r="G387" s="6" t="s">
        <v>2204</v>
      </c>
      <c r="H387" s="6" t="s">
        <v>1803</v>
      </c>
      <c r="I387" s="7" t="n">
        <v>3500</v>
      </c>
      <c r="J387" s="7" t="n">
        <v>5600</v>
      </c>
      <c r="K387" s="6" t="n">
        <v>0</v>
      </c>
      <c r="L387" s="6" t="n">
        <v>4</v>
      </c>
      <c r="M387" s="6" t="s">
        <v>87</v>
      </c>
      <c r="N387" s="6" t="s">
        <v>2551</v>
      </c>
      <c r="O387" s="8" t="b">
        <f aca="false">TRUE()</f>
        <v>1</v>
      </c>
      <c r="P387" s="6" t="s">
        <v>2552</v>
      </c>
      <c r="Q387" s="6" t="s">
        <v>2553</v>
      </c>
      <c r="R387" s="6" t="s">
        <v>2553</v>
      </c>
      <c r="S387" s="9" t="b">
        <f aca="false">FALSE()</f>
        <v>0</v>
      </c>
      <c r="T387" s="6"/>
      <c r="U387" s="6"/>
      <c r="V387" s="6"/>
      <c r="W387" s="6"/>
    </row>
    <row r="388" customFormat="false" ht="15" hidden="false" customHeight="false" outlineLevel="0" collapsed="false">
      <c r="A388" s="6" t="s">
        <v>2554</v>
      </c>
      <c r="B388" s="6" t="s">
        <v>2555</v>
      </c>
      <c r="C388" s="6" t="s">
        <v>2556</v>
      </c>
      <c r="D388" s="6" t="s">
        <v>39</v>
      </c>
      <c r="E388" s="6" t="s">
        <v>40</v>
      </c>
      <c r="F388" s="6" t="s">
        <v>2557</v>
      </c>
      <c r="G388" s="6" t="s">
        <v>41</v>
      </c>
      <c r="H388" s="6" t="s">
        <v>2558</v>
      </c>
      <c r="I388" s="7" t="n">
        <v>3500</v>
      </c>
      <c r="J388" s="7" t="n">
        <v>5600</v>
      </c>
      <c r="K388" s="6" t="n">
        <v>0</v>
      </c>
      <c r="L388" s="6" t="n">
        <v>4</v>
      </c>
      <c r="M388" s="6" t="s">
        <v>1409</v>
      </c>
      <c r="N388" s="6" t="s">
        <v>2559</v>
      </c>
      <c r="O388" s="8" t="b">
        <f aca="false">TRUE()</f>
        <v>1</v>
      </c>
      <c r="P388" s="6" t="s">
        <v>2560</v>
      </c>
      <c r="Q388" s="6" t="s">
        <v>2561</v>
      </c>
      <c r="R388" s="6" t="s">
        <v>2561</v>
      </c>
      <c r="S388" s="9" t="b">
        <f aca="false">FALSE()</f>
        <v>0</v>
      </c>
      <c r="T388" s="6"/>
      <c r="U388" s="6"/>
      <c r="V388" s="6"/>
      <c r="W388" s="6"/>
    </row>
    <row r="389" customFormat="false" ht="15" hidden="false" customHeight="false" outlineLevel="0" collapsed="false">
      <c r="A389" s="6" t="s">
        <v>2562</v>
      </c>
      <c r="B389" s="6" t="s">
        <v>2563</v>
      </c>
      <c r="C389" s="6" t="s">
        <v>2564</v>
      </c>
      <c r="D389" s="6" t="s">
        <v>39</v>
      </c>
      <c r="E389" s="6" t="s">
        <v>40</v>
      </c>
      <c r="F389" s="6" t="s">
        <v>2557</v>
      </c>
      <c r="G389" s="6" t="s">
        <v>41</v>
      </c>
      <c r="H389" s="6" t="s">
        <v>2558</v>
      </c>
      <c r="I389" s="7" t="n">
        <v>3500</v>
      </c>
      <c r="J389" s="7" t="n">
        <v>5600</v>
      </c>
      <c r="K389" s="6" t="n">
        <v>0</v>
      </c>
      <c r="L389" s="6" t="n">
        <v>4</v>
      </c>
      <c r="M389" s="6" t="s">
        <v>1409</v>
      </c>
      <c r="N389" s="6" t="s">
        <v>2565</v>
      </c>
      <c r="O389" s="8" t="b">
        <f aca="false">TRUE()</f>
        <v>1</v>
      </c>
      <c r="P389" s="6" t="s">
        <v>2566</v>
      </c>
      <c r="Q389" s="6" t="s">
        <v>2561</v>
      </c>
      <c r="R389" s="6" t="s">
        <v>2561</v>
      </c>
      <c r="S389" s="9" t="b">
        <f aca="false">FALSE()</f>
        <v>0</v>
      </c>
      <c r="T389" s="6"/>
      <c r="U389" s="6"/>
      <c r="V389" s="6"/>
      <c r="W389" s="6"/>
    </row>
    <row r="390" customFormat="false" ht="15" hidden="false" customHeight="false" outlineLevel="0" collapsed="false">
      <c r="A390" s="6" t="s">
        <v>2567</v>
      </c>
      <c r="B390" s="6" t="s">
        <v>2568</v>
      </c>
      <c r="C390" s="6" t="s">
        <v>2569</v>
      </c>
      <c r="D390" s="6" t="s">
        <v>39</v>
      </c>
      <c r="E390" s="6" t="s">
        <v>40</v>
      </c>
      <c r="F390" s="6" t="s">
        <v>2557</v>
      </c>
      <c r="G390" s="6" t="s">
        <v>2570</v>
      </c>
      <c r="H390" s="6" t="s">
        <v>2571</v>
      </c>
      <c r="I390" s="7" t="n">
        <v>3500</v>
      </c>
      <c r="J390" s="7" t="n">
        <v>5600</v>
      </c>
      <c r="K390" s="6" t="n">
        <v>0</v>
      </c>
      <c r="L390" s="6" t="n">
        <v>4</v>
      </c>
      <c r="M390" s="6" t="s">
        <v>1409</v>
      </c>
      <c r="N390" s="6" t="s">
        <v>2572</v>
      </c>
      <c r="O390" s="8" t="b">
        <f aca="false">TRUE()</f>
        <v>1</v>
      </c>
      <c r="P390" s="6" t="s">
        <v>2573</v>
      </c>
      <c r="Q390" s="6" t="s">
        <v>2574</v>
      </c>
      <c r="R390" s="6" t="s">
        <v>2574</v>
      </c>
      <c r="S390" s="9" t="b">
        <f aca="false">FALSE()</f>
        <v>0</v>
      </c>
      <c r="T390" s="6"/>
      <c r="U390" s="6"/>
      <c r="V390" s="6"/>
      <c r="W390" s="6"/>
    </row>
    <row r="391" customFormat="false" ht="15" hidden="false" customHeight="false" outlineLevel="0" collapsed="false">
      <c r="A391" s="6" t="s">
        <v>2575</v>
      </c>
      <c r="B391" s="6" t="s">
        <v>2576</v>
      </c>
      <c r="C391" s="6" t="s">
        <v>2577</v>
      </c>
      <c r="D391" s="6" t="s">
        <v>39</v>
      </c>
      <c r="E391" s="6" t="s">
        <v>40</v>
      </c>
      <c r="F391" s="6" t="s">
        <v>2557</v>
      </c>
      <c r="G391" s="6" t="s">
        <v>2570</v>
      </c>
      <c r="H391" s="6" t="s">
        <v>2571</v>
      </c>
      <c r="I391" s="7" t="n">
        <v>3500</v>
      </c>
      <c r="J391" s="7" t="n">
        <v>5600</v>
      </c>
      <c r="K391" s="6" t="n">
        <v>0</v>
      </c>
      <c r="L391" s="6" t="n">
        <v>4</v>
      </c>
      <c r="M391" s="6" t="s">
        <v>1409</v>
      </c>
      <c r="N391" s="6" t="s">
        <v>2578</v>
      </c>
      <c r="O391" s="8" t="b">
        <f aca="false">TRUE()</f>
        <v>1</v>
      </c>
      <c r="P391" s="6" t="s">
        <v>2579</v>
      </c>
      <c r="Q391" s="6" t="s">
        <v>2574</v>
      </c>
      <c r="R391" s="6" t="s">
        <v>2574</v>
      </c>
      <c r="S391" s="9" t="b">
        <f aca="false">FALSE()</f>
        <v>0</v>
      </c>
      <c r="T391" s="6"/>
      <c r="U391" s="6"/>
      <c r="V391" s="6"/>
      <c r="W391" s="6"/>
    </row>
    <row r="392" customFormat="false" ht="15" hidden="false" customHeight="false" outlineLevel="0" collapsed="false">
      <c r="A392" s="6" t="s">
        <v>2580</v>
      </c>
      <c r="B392" s="6" t="s">
        <v>2581</v>
      </c>
      <c r="C392" s="6" t="s">
        <v>2582</v>
      </c>
      <c r="D392" s="6" t="s">
        <v>39</v>
      </c>
      <c r="E392" s="6" t="s">
        <v>40</v>
      </c>
      <c r="F392" s="6" t="s">
        <v>2557</v>
      </c>
      <c r="G392" s="6" t="s">
        <v>2570</v>
      </c>
      <c r="H392" s="6" t="s">
        <v>2571</v>
      </c>
      <c r="I392" s="7" t="n">
        <v>3500</v>
      </c>
      <c r="J392" s="7" t="n">
        <v>5600</v>
      </c>
      <c r="K392" s="6" t="n">
        <v>0</v>
      </c>
      <c r="L392" s="6" t="n">
        <v>4</v>
      </c>
      <c r="M392" s="6" t="s">
        <v>1409</v>
      </c>
      <c r="N392" s="6" t="s">
        <v>2583</v>
      </c>
      <c r="O392" s="8" t="b">
        <f aca="false">TRUE()</f>
        <v>1</v>
      </c>
      <c r="P392" s="6" t="s">
        <v>2584</v>
      </c>
      <c r="Q392" s="6" t="s">
        <v>2574</v>
      </c>
      <c r="R392" s="6" t="s">
        <v>2574</v>
      </c>
      <c r="S392" s="9" t="b">
        <f aca="false">FALSE()</f>
        <v>0</v>
      </c>
      <c r="T392" s="6"/>
      <c r="U392" s="6"/>
      <c r="V392" s="6"/>
      <c r="W392" s="6"/>
    </row>
    <row r="393" customFormat="false" ht="15" hidden="false" customHeight="false" outlineLevel="0" collapsed="false">
      <c r="A393" s="6" t="s">
        <v>2585</v>
      </c>
      <c r="B393" s="6" t="s">
        <v>2586</v>
      </c>
      <c r="C393" s="6" t="s">
        <v>2587</v>
      </c>
      <c r="D393" s="6" t="s">
        <v>39</v>
      </c>
      <c r="E393" s="6" t="s">
        <v>40</v>
      </c>
      <c r="F393" s="6" t="s">
        <v>2557</v>
      </c>
      <c r="G393" s="6" t="s">
        <v>2570</v>
      </c>
      <c r="H393" s="6" t="s">
        <v>2571</v>
      </c>
      <c r="I393" s="7" t="n">
        <v>3500</v>
      </c>
      <c r="J393" s="7" t="n">
        <v>5600</v>
      </c>
      <c r="K393" s="6" t="n">
        <v>0</v>
      </c>
      <c r="L393" s="6" t="n">
        <v>4</v>
      </c>
      <c r="M393" s="6" t="s">
        <v>1409</v>
      </c>
      <c r="N393" s="6" t="s">
        <v>2588</v>
      </c>
      <c r="O393" s="8" t="b">
        <f aca="false">TRUE()</f>
        <v>1</v>
      </c>
      <c r="P393" s="6" t="s">
        <v>2589</v>
      </c>
      <c r="Q393" s="6" t="s">
        <v>2574</v>
      </c>
      <c r="R393" s="6" t="s">
        <v>2574</v>
      </c>
      <c r="S393" s="9" t="b">
        <f aca="false">FALSE()</f>
        <v>0</v>
      </c>
      <c r="T393" s="6"/>
      <c r="U393" s="6"/>
      <c r="V393" s="6"/>
      <c r="W393" s="6"/>
    </row>
    <row r="394" customFormat="false" ht="15" hidden="false" customHeight="false" outlineLevel="0" collapsed="false">
      <c r="A394" s="6" t="s">
        <v>2590</v>
      </c>
      <c r="B394" s="6" t="s">
        <v>2591</v>
      </c>
      <c r="C394" s="6" t="s">
        <v>2592</v>
      </c>
      <c r="D394" s="6" t="s">
        <v>39</v>
      </c>
      <c r="E394" s="6" t="s">
        <v>40</v>
      </c>
      <c r="F394" s="6" t="s">
        <v>2557</v>
      </c>
      <c r="G394" s="6" t="s">
        <v>2570</v>
      </c>
      <c r="H394" s="6" t="s">
        <v>2571</v>
      </c>
      <c r="I394" s="7" t="n">
        <v>3500</v>
      </c>
      <c r="J394" s="7" t="n">
        <v>5600</v>
      </c>
      <c r="K394" s="6" t="n">
        <v>0</v>
      </c>
      <c r="L394" s="6" t="n">
        <v>4</v>
      </c>
      <c r="M394" s="6" t="s">
        <v>1409</v>
      </c>
      <c r="N394" s="6" t="s">
        <v>2593</v>
      </c>
      <c r="O394" s="8" t="b">
        <f aca="false">TRUE()</f>
        <v>1</v>
      </c>
      <c r="P394" s="6" t="s">
        <v>2594</v>
      </c>
      <c r="Q394" s="6" t="s">
        <v>2574</v>
      </c>
      <c r="R394" s="6" t="s">
        <v>2574</v>
      </c>
      <c r="S394" s="9" t="b">
        <f aca="false">FALSE()</f>
        <v>0</v>
      </c>
      <c r="T394" s="6"/>
      <c r="U394" s="6"/>
      <c r="V394" s="6"/>
      <c r="W394" s="6"/>
    </row>
    <row r="395" customFormat="false" ht="15" hidden="false" customHeight="false" outlineLevel="0" collapsed="false">
      <c r="A395" s="6" t="s">
        <v>2595</v>
      </c>
      <c r="B395" s="6" t="s">
        <v>2596</v>
      </c>
      <c r="C395" s="6" t="s">
        <v>2597</v>
      </c>
      <c r="D395" s="6" t="s">
        <v>39</v>
      </c>
      <c r="E395" s="6" t="s">
        <v>40</v>
      </c>
      <c r="F395" s="6" t="s">
        <v>2557</v>
      </c>
      <c r="G395" s="6" t="s">
        <v>2570</v>
      </c>
      <c r="H395" s="6" t="s">
        <v>2571</v>
      </c>
      <c r="I395" s="7" t="n">
        <v>3500</v>
      </c>
      <c r="J395" s="7" t="n">
        <v>5600</v>
      </c>
      <c r="K395" s="6" t="n">
        <v>0</v>
      </c>
      <c r="L395" s="6" t="n">
        <v>4</v>
      </c>
      <c r="M395" s="6" t="s">
        <v>1409</v>
      </c>
      <c r="N395" s="6" t="s">
        <v>2598</v>
      </c>
      <c r="O395" s="8" t="b">
        <f aca="false">TRUE()</f>
        <v>1</v>
      </c>
      <c r="P395" s="6" t="s">
        <v>2599</v>
      </c>
      <c r="Q395" s="6" t="s">
        <v>2574</v>
      </c>
      <c r="R395" s="6" t="s">
        <v>2574</v>
      </c>
      <c r="S395" s="9" t="b">
        <f aca="false">FALSE()</f>
        <v>0</v>
      </c>
      <c r="T395" s="6"/>
      <c r="U395" s="6"/>
      <c r="V395" s="6"/>
      <c r="W395" s="6"/>
    </row>
    <row r="396" customFormat="false" ht="15" hidden="false" customHeight="false" outlineLevel="0" collapsed="false">
      <c r="A396" s="6" t="s">
        <v>2600</v>
      </c>
      <c r="B396" s="6" t="s">
        <v>2601</v>
      </c>
      <c r="C396" s="6" t="s">
        <v>2602</v>
      </c>
      <c r="D396" s="6" t="s">
        <v>39</v>
      </c>
      <c r="E396" s="6" t="s">
        <v>40</v>
      </c>
      <c r="F396" s="6" t="s">
        <v>2557</v>
      </c>
      <c r="G396" s="6" t="s">
        <v>2570</v>
      </c>
      <c r="H396" s="6" t="s">
        <v>2571</v>
      </c>
      <c r="I396" s="7" t="n">
        <v>3500</v>
      </c>
      <c r="J396" s="7" t="n">
        <v>5600</v>
      </c>
      <c r="K396" s="6" t="n">
        <v>0</v>
      </c>
      <c r="L396" s="6" t="n">
        <v>4</v>
      </c>
      <c r="M396" s="6" t="s">
        <v>1409</v>
      </c>
      <c r="N396" s="6" t="s">
        <v>2603</v>
      </c>
      <c r="O396" s="8" t="b">
        <f aca="false">TRUE()</f>
        <v>1</v>
      </c>
      <c r="P396" s="6" t="s">
        <v>2604</v>
      </c>
      <c r="Q396" s="6" t="s">
        <v>2574</v>
      </c>
      <c r="R396" s="6" t="s">
        <v>2574</v>
      </c>
      <c r="S396" s="9" t="b">
        <f aca="false">FALSE()</f>
        <v>0</v>
      </c>
      <c r="T396" s="6"/>
      <c r="U396" s="6"/>
      <c r="V396" s="6"/>
      <c r="W396" s="6"/>
    </row>
    <row r="397" customFormat="false" ht="15" hidden="false" customHeight="false" outlineLevel="0" collapsed="false">
      <c r="A397" s="6" t="s">
        <v>2605</v>
      </c>
      <c r="B397" s="6" t="s">
        <v>2606</v>
      </c>
      <c r="C397" s="6" t="s">
        <v>2607</v>
      </c>
      <c r="D397" s="6" t="s">
        <v>39</v>
      </c>
      <c r="E397" s="6" t="s">
        <v>40</v>
      </c>
      <c r="F397" s="6" t="s">
        <v>2557</v>
      </c>
      <c r="G397" s="6" t="s">
        <v>2570</v>
      </c>
      <c r="H397" s="6" t="s">
        <v>2571</v>
      </c>
      <c r="I397" s="7" t="n">
        <v>3500</v>
      </c>
      <c r="J397" s="7" t="n">
        <v>5600</v>
      </c>
      <c r="K397" s="6" t="n">
        <v>0</v>
      </c>
      <c r="L397" s="6" t="n">
        <v>4</v>
      </c>
      <c r="M397" s="6" t="s">
        <v>87</v>
      </c>
      <c r="N397" s="6" t="s">
        <v>2608</v>
      </c>
      <c r="O397" s="8" t="b">
        <f aca="false">TRUE()</f>
        <v>1</v>
      </c>
      <c r="P397" s="6" t="s">
        <v>2609</v>
      </c>
      <c r="Q397" s="6" t="s">
        <v>2574</v>
      </c>
      <c r="R397" s="6" t="s">
        <v>2574</v>
      </c>
      <c r="S397" s="10" t="b">
        <f aca="false">TRUE()</f>
        <v>1</v>
      </c>
      <c r="T397" s="6" t="s">
        <v>2610</v>
      </c>
      <c r="U397" s="6" t="s">
        <v>73</v>
      </c>
      <c r="V397" s="6" t="s">
        <v>2611</v>
      </c>
      <c r="W397" s="6" t="s">
        <v>358</v>
      </c>
    </row>
    <row r="398" customFormat="false" ht="15" hidden="false" customHeight="false" outlineLevel="0" collapsed="false">
      <c r="A398" s="6" t="s">
        <v>2612</v>
      </c>
      <c r="B398" s="6" t="s">
        <v>2613</v>
      </c>
      <c r="C398" s="6" t="s">
        <v>2614</v>
      </c>
      <c r="D398" s="6" t="s">
        <v>39</v>
      </c>
      <c r="E398" s="6" t="s">
        <v>40</v>
      </c>
      <c r="F398" s="6" t="s">
        <v>2557</v>
      </c>
      <c r="G398" s="6" t="s">
        <v>2570</v>
      </c>
      <c r="H398" s="6" t="s">
        <v>2571</v>
      </c>
      <c r="I398" s="7" t="n">
        <v>3500</v>
      </c>
      <c r="J398" s="7" t="n">
        <v>5600</v>
      </c>
      <c r="K398" s="6" t="n">
        <v>0</v>
      </c>
      <c r="L398" s="6" t="n">
        <v>4</v>
      </c>
      <c r="M398" s="6" t="s">
        <v>1409</v>
      </c>
      <c r="N398" s="6" t="s">
        <v>2615</v>
      </c>
      <c r="O398" s="8" t="b">
        <f aca="false">TRUE()</f>
        <v>1</v>
      </c>
      <c r="P398" s="6" t="s">
        <v>2616</v>
      </c>
      <c r="Q398" s="6" t="s">
        <v>2574</v>
      </c>
      <c r="R398" s="6" t="s">
        <v>2574</v>
      </c>
      <c r="S398" s="9" t="b">
        <f aca="false">FALSE()</f>
        <v>0</v>
      </c>
      <c r="T398" s="6"/>
      <c r="U398" s="6"/>
      <c r="V398" s="6"/>
      <c r="W398" s="6"/>
    </row>
    <row r="399" customFormat="false" ht="15" hidden="false" customHeight="false" outlineLevel="0" collapsed="false">
      <c r="A399" s="6" t="s">
        <v>2617</v>
      </c>
      <c r="B399" s="6" t="s">
        <v>2618</v>
      </c>
      <c r="C399" s="6" t="s">
        <v>2619</v>
      </c>
      <c r="D399" s="6" t="s">
        <v>39</v>
      </c>
      <c r="E399" s="6" t="s">
        <v>40</v>
      </c>
      <c r="F399" s="6" t="s">
        <v>2557</v>
      </c>
      <c r="G399" s="6" t="s">
        <v>2570</v>
      </c>
      <c r="H399" s="6" t="s">
        <v>2571</v>
      </c>
      <c r="I399" s="7" t="n">
        <v>3500</v>
      </c>
      <c r="J399" s="7" t="n">
        <v>5600</v>
      </c>
      <c r="K399" s="6" t="n">
        <v>0</v>
      </c>
      <c r="L399" s="6" t="n">
        <v>4</v>
      </c>
      <c r="M399" s="6" t="s">
        <v>1409</v>
      </c>
      <c r="N399" s="6" t="s">
        <v>2620</v>
      </c>
      <c r="O399" s="8" t="b">
        <f aca="false">TRUE()</f>
        <v>1</v>
      </c>
      <c r="P399" s="6" t="s">
        <v>2621</v>
      </c>
      <c r="Q399" s="6" t="s">
        <v>2574</v>
      </c>
      <c r="R399" s="6" t="s">
        <v>2574</v>
      </c>
      <c r="S399" s="9" t="b">
        <f aca="false">FALSE()</f>
        <v>0</v>
      </c>
      <c r="T399" s="6"/>
      <c r="U399" s="6"/>
      <c r="V399" s="6"/>
      <c r="W399" s="6"/>
    </row>
    <row r="400" customFormat="false" ht="15" hidden="false" customHeight="false" outlineLevel="0" collapsed="false">
      <c r="A400" s="6" t="s">
        <v>2622</v>
      </c>
      <c r="B400" s="6" t="s">
        <v>2623</v>
      </c>
      <c r="C400" s="6" t="s">
        <v>2624</v>
      </c>
      <c r="D400" s="6" t="s">
        <v>39</v>
      </c>
      <c r="E400" s="6" t="s">
        <v>40</v>
      </c>
      <c r="F400" s="6" t="s">
        <v>2557</v>
      </c>
      <c r="G400" s="6" t="s">
        <v>2570</v>
      </c>
      <c r="H400" s="6" t="s">
        <v>2571</v>
      </c>
      <c r="I400" s="7" t="n">
        <v>3500</v>
      </c>
      <c r="J400" s="7" t="n">
        <v>5600</v>
      </c>
      <c r="K400" s="6" t="n">
        <v>0</v>
      </c>
      <c r="L400" s="6" t="n">
        <v>4</v>
      </c>
      <c r="M400" s="6" t="s">
        <v>1409</v>
      </c>
      <c r="N400" s="6" t="s">
        <v>2625</v>
      </c>
      <c r="O400" s="8" t="b">
        <f aca="false">TRUE()</f>
        <v>1</v>
      </c>
      <c r="P400" s="6" t="s">
        <v>2626</v>
      </c>
      <c r="Q400" s="6" t="s">
        <v>2574</v>
      </c>
      <c r="R400" s="6" t="s">
        <v>2574</v>
      </c>
      <c r="S400" s="9" t="b">
        <f aca="false">FALSE()</f>
        <v>0</v>
      </c>
      <c r="T400" s="6"/>
      <c r="U400" s="6"/>
      <c r="V400" s="6"/>
      <c r="W400" s="6"/>
    </row>
    <row r="401" customFormat="false" ht="15" hidden="false" customHeight="false" outlineLevel="0" collapsed="false">
      <c r="A401" s="6" t="s">
        <v>2627</v>
      </c>
      <c r="B401" s="6" t="s">
        <v>2628</v>
      </c>
      <c r="C401" s="6" t="s">
        <v>2629</v>
      </c>
      <c r="D401" s="6" t="s">
        <v>39</v>
      </c>
      <c r="E401" s="6" t="s">
        <v>40</v>
      </c>
      <c r="F401" s="6" t="s">
        <v>2557</v>
      </c>
      <c r="G401" s="6" t="s">
        <v>2570</v>
      </c>
      <c r="H401" s="6" t="s">
        <v>2571</v>
      </c>
      <c r="I401" s="7" t="n">
        <v>3500</v>
      </c>
      <c r="J401" s="7" t="n">
        <v>5600</v>
      </c>
      <c r="K401" s="6" t="n">
        <v>0</v>
      </c>
      <c r="L401" s="6" t="n">
        <v>4</v>
      </c>
      <c r="M401" s="6" t="s">
        <v>87</v>
      </c>
      <c r="N401" s="6" t="s">
        <v>2630</v>
      </c>
      <c r="O401" s="8" t="b">
        <f aca="false">TRUE()</f>
        <v>1</v>
      </c>
      <c r="P401" s="6" t="s">
        <v>2631</v>
      </c>
      <c r="Q401" s="6" t="s">
        <v>2574</v>
      </c>
      <c r="R401" s="6" t="s">
        <v>2574</v>
      </c>
      <c r="S401" s="10" t="b">
        <f aca="false">TRUE()</f>
        <v>1</v>
      </c>
      <c r="T401" s="6" t="s">
        <v>2632</v>
      </c>
      <c r="U401" s="6" t="s">
        <v>73</v>
      </c>
      <c r="V401" s="6" t="s">
        <v>2633</v>
      </c>
      <c r="W401" s="6" t="s">
        <v>358</v>
      </c>
    </row>
    <row r="402" customFormat="false" ht="15" hidden="false" customHeight="false" outlineLevel="0" collapsed="false">
      <c r="A402" s="6" t="s">
        <v>2634</v>
      </c>
      <c r="B402" s="6" t="s">
        <v>2635</v>
      </c>
      <c r="C402" s="6" t="s">
        <v>2636</v>
      </c>
      <c r="D402" s="6" t="s">
        <v>39</v>
      </c>
      <c r="E402" s="6" t="s">
        <v>40</v>
      </c>
      <c r="F402" s="6" t="s">
        <v>2557</v>
      </c>
      <c r="G402" s="6" t="s">
        <v>2570</v>
      </c>
      <c r="H402" s="6" t="s">
        <v>2571</v>
      </c>
      <c r="I402" s="7" t="n">
        <v>3500</v>
      </c>
      <c r="J402" s="7" t="n">
        <v>5600</v>
      </c>
      <c r="K402" s="6" t="n">
        <v>0</v>
      </c>
      <c r="L402" s="6" t="n">
        <v>4</v>
      </c>
      <c r="M402" s="6" t="s">
        <v>1409</v>
      </c>
      <c r="N402" s="6" t="s">
        <v>2637</v>
      </c>
      <c r="O402" s="8" t="b">
        <f aca="false">TRUE()</f>
        <v>1</v>
      </c>
      <c r="P402" s="6" t="s">
        <v>2638</v>
      </c>
      <c r="Q402" s="6" t="s">
        <v>2574</v>
      </c>
      <c r="R402" s="6" t="s">
        <v>2574</v>
      </c>
      <c r="S402" s="9" t="b">
        <f aca="false">FALSE()</f>
        <v>0</v>
      </c>
      <c r="T402" s="6"/>
      <c r="U402" s="6"/>
      <c r="V402" s="6"/>
      <c r="W402" s="6"/>
    </row>
    <row r="403" customFormat="false" ht="15" hidden="false" customHeight="false" outlineLevel="0" collapsed="false">
      <c r="A403" s="6" t="s">
        <v>2639</v>
      </c>
      <c r="B403" s="6" t="s">
        <v>2640</v>
      </c>
      <c r="C403" s="6" t="s">
        <v>2641</v>
      </c>
      <c r="D403" s="6" t="s">
        <v>39</v>
      </c>
      <c r="E403" s="6" t="s">
        <v>40</v>
      </c>
      <c r="F403" s="6" t="s">
        <v>2557</v>
      </c>
      <c r="G403" s="6" t="s">
        <v>2570</v>
      </c>
      <c r="H403" s="6" t="s">
        <v>2571</v>
      </c>
      <c r="I403" s="7" t="n">
        <v>3500</v>
      </c>
      <c r="J403" s="7" t="n">
        <v>5600</v>
      </c>
      <c r="K403" s="6" t="n">
        <v>0</v>
      </c>
      <c r="L403" s="6" t="n">
        <v>4</v>
      </c>
      <c r="M403" s="6" t="s">
        <v>1409</v>
      </c>
      <c r="N403" s="6" t="s">
        <v>2642</v>
      </c>
      <c r="O403" s="8" t="b">
        <f aca="false">TRUE()</f>
        <v>1</v>
      </c>
      <c r="P403" s="6" t="s">
        <v>2643</v>
      </c>
      <c r="Q403" s="6" t="s">
        <v>2574</v>
      </c>
      <c r="R403" s="6" t="s">
        <v>2574</v>
      </c>
      <c r="S403" s="9" t="b">
        <f aca="false">FALSE()</f>
        <v>0</v>
      </c>
      <c r="T403" s="6"/>
      <c r="U403" s="6"/>
      <c r="V403" s="6"/>
      <c r="W403" s="6"/>
    </row>
    <row r="404" customFormat="false" ht="15" hidden="false" customHeight="false" outlineLevel="0" collapsed="false">
      <c r="A404" s="6" t="s">
        <v>2644</v>
      </c>
      <c r="B404" s="6" t="s">
        <v>2645</v>
      </c>
      <c r="C404" s="6" t="s">
        <v>2646</v>
      </c>
      <c r="D404" s="6" t="s">
        <v>39</v>
      </c>
      <c r="E404" s="6" t="s">
        <v>40</v>
      </c>
      <c r="F404" s="6" t="s">
        <v>2557</v>
      </c>
      <c r="G404" s="6" t="s">
        <v>2570</v>
      </c>
      <c r="H404" s="6" t="s">
        <v>2571</v>
      </c>
      <c r="I404" s="7" t="n">
        <v>3500</v>
      </c>
      <c r="J404" s="7" t="n">
        <v>5600</v>
      </c>
      <c r="K404" s="6" t="n">
        <v>0</v>
      </c>
      <c r="L404" s="6" t="n">
        <v>4</v>
      </c>
      <c r="M404" s="6" t="s">
        <v>2647</v>
      </c>
      <c r="N404" s="6" t="s">
        <v>2648</v>
      </c>
      <c r="O404" s="8" t="b">
        <f aca="false">TRUE()</f>
        <v>1</v>
      </c>
      <c r="P404" s="6" t="s">
        <v>2649</v>
      </c>
      <c r="Q404" s="6" t="s">
        <v>2574</v>
      </c>
      <c r="R404" s="6" t="s">
        <v>2574</v>
      </c>
      <c r="S404" s="10" t="b">
        <f aca="false">TRUE()</f>
        <v>1</v>
      </c>
      <c r="T404" s="6" t="s">
        <v>2650</v>
      </c>
      <c r="U404" s="6" t="s">
        <v>73</v>
      </c>
      <c r="V404" s="6" t="s">
        <v>2651</v>
      </c>
      <c r="W404" s="6" t="s">
        <v>358</v>
      </c>
    </row>
    <row r="405" customFormat="false" ht="15" hidden="false" customHeight="false" outlineLevel="0" collapsed="false">
      <c r="A405" s="6" t="s">
        <v>2652</v>
      </c>
      <c r="B405" s="6" t="s">
        <v>2653</v>
      </c>
      <c r="C405" s="6" t="s">
        <v>2654</v>
      </c>
      <c r="D405" s="6" t="s">
        <v>39</v>
      </c>
      <c r="E405" s="6" t="s">
        <v>40</v>
      </c>
      <c r="F405" s="6" t="s">
        <v>2557</v>
      </c>
      <c r="G405" s="6" t="s">
        <v>2570</v>
      </c>
      <c r="H405" s="6" t="s">
        <v>2571</v>
      </c>
      <c r="I405" s="7" t="n">
        <v>3500</v>
      </c>
      <c r="J405" s="7" t="n">
        <v>5600</v>
      </c>
      <c r="K405" s="6" t="n">
        <v>0</v>
      </c>
      <c r="L405" s="6" t="n">
        <v>4</v>
      </c>
      <c r="M405" s="6" t="s">
        <v>1409</v>
      </c>
      <c r="N405" s="6" t="s">
        <v>2655</v>
      </c>
      <c r="O405" s="8" t="b">
        <f aca="false">TRUE()</f>
        <v>1</v>
      </c>
      <c r="P405" s="6" t="s">
        <v>2656</v>
      </c>
      <c r="Q405" s="6" t="s">
        <v>2574</v>
      </c>
      <c r="R405" s="6" t="s">
        <v>2574</v>
      </c>
      <c r="S405" s="9" t="b">
        <f aca="false">FALSE()</f>
        <v>0</v>
      </c>
      <c r="T405" s="6"/>
      <c r="U405" s="6"/>
      <c r="V405" s="6"/>
      <c r="W405" s="6"/>
    </row>
    <row r="406" customFormat="false" ht="15" hidden="false" customHeight="false" outlineLevel="0" collapsed="false">
      <c r="A406" s="6" t="s">
        <v>2657</v>
      </c>
      <c r="B406" s="6" t="s">
        <v>2658</v>
      </c>
      <c r="C406" s="6" t="s">
        <v>2659</v>
      </c>
      <c r="D406" s="6" t="s">
        <v>39</v>
      </c>
      <c r="E406" s="6" t="s">
        <v>40</v>
      </c>
      <c r="F406" s="6" t="s">
        <v>2557</v>
      </c>
      <c r="G406" s="6" t="s">
        <v>2570</v>
      </c>
      <c r="H406" s="6" t="s">
        <v>2571</v>
      </c>
      <c r="I406" s="7" t="n">
        <v>3500</v>
      </c>
      <c r="J406" s="7" t="n">
        <v>5600</v>
      </c>
      <c r="K406" s="6" t="n">
        <v>0</v>
      </c>
      <c r="L406" s="6" t="n">
        <v>4</v>
      </c>
      <c r="M406" s="6" t="s">
        <v>1409</v>
      </c>
      <c r="N406" s="6" t="s">
        <v>2660</v>
      </c>
      <c r="O406" s="8" t="b">
        <f aca="false">TRUE()</f>
        <v>1</v>
      </c>
      <c r="P406" s="6" t="s">
        <v>2661</v>
      </c>
      <c r="Q406" s="6" t="s">
        <v>2574</v>
      </c>
      <c r="R406" s="6" t="s">
        <v>2574</v>
      </c>
      <c r="S406" s="9" t="b">
        <f aca="false">FALSE()</f>
        <v>0</v>
      </c>
      <c r="T406" s="6"/>
      <c r="U406" s="6"/>
      <c r="V406" s="6"/>
      <c r="W406" s="6"/>
    </row>
    <row r="407" customFormat="false" ht="15" hidden="false" customHeight="false" outlineLevel="0" collapsed="false">
      <c r="A407" s="6" t="s">
        <v>2662</v>
      </c>
      <c r="B407" s="6" t="s">
        <v>2663</v>
      </c>
      <c r="C407" s="6" t="s">
        <v>2664</v>
      </c>
      <c r="D407" s="6" t="s">
        <v>39</v>
      </c>
      <c r="E407" s="6" t="s">
        <v>40</v>
      </c>
      <c r="F407" s="6" t="s">
        <v>2557</v>
      </c>
      <c r="G407" s="6" t="s">
        <v>2570</v>
      </c>
      <c r="H407" s="6" t="s">
        <v>2571</v>
      </c>
      <c r="I407" s="7" t="n">
        <v>3500</v>
      </c>
      <c r="J407" s="7" t="n">
        <v>5600</v>
      </c>
      <c r="K407" s="6" t="n">
        <v>0</v>
      </c>
      <c r="L407" s="6" t="n">
        <v>4</v>
      </c>
      <c r="M407" s="6" t="s">
        <v>1409</v>
      </c>
      <c r="N407" s="6" t="s">
        <v>2665</v>
      </c>
      <c r="O407" s="8" t="b">
        <f aca="false">TRUE()</f>
        <v>1</v>
      </c>
      <c r="P407" s="6" t="s">
        <v>2666</v>
      </c>
      <c r="Q407" s="6" t="s">
        <v>2574</v>
      </c>
      <c r="R407" s="6" t="s">
        <v>2574</v>
      </c>
      <c r="S407" s="9" t="b">
        <f aca="false">FALSE()</f>
        <v>0</v>
      </c>
      <c r="T407" s="6"/>
      <c r="U407" s="6"/>
      <c r="V407" s="6"/>
      <c r="W407" s="6"/>
    </row>
    <row r="408" customFormat="false" ht="15" hidden="false" customHeight="false" outlineLevel="0" collapsed="false">
      <c r="A408" s="6" t="s">
        <v>2667</v>
      </c>
      <c r="B408" s="6" t="s">
        <v>2668</v>
      </c>
      <c r="C408" s="6" t="s">
        <v>2669</v>
      </c>
      <c r="D408" s="6" t="s">
        <v>39</v>
      </c>
      <c r="E408" s="6" t="s">
        <v>40</v>
      </c>
      <c r="F408" s="6" t="s">
        <v>2557</v>
      </c>
      <c r="G408" s="6" t="s">
        <v>2570</v>
      </c>
      <c r="H408" s="6" t="s">
        <v>2571</v>
      </c>
      <c r="I408" s="7" t="n">
        <v>3500</v>
      </c>
      <c r="J408" s="7" t="n">
        <v>5600</v>
      </c>
      <c r="K408" s="6" t="n">
        <v>0</v>
      </c>
      <c r="L408" s="6" t="n">
        <v>4</v>
      </c>
      <c r="M408" s="6" t="s">
        <v>1409</v>
      </c>
      <c r="N408" s="6" t="s">
        <v>2670</v>
      </c>
      <c r="O408" s="8" t="b">
        <f aca="false">TRUE()</f>
        <v>1</v>
      </c>
      <c r="P408" s="6" t="s">
        <v>2671</v>
      </c>
      <c r="Q408" s="6" t="s">
        <v>2574</v>
      </c>
      <c r="R408" s="6" t="s">
        <v>2574</v>
      </c>
      <c r="S408" s="9" t="b">
        <f aca="false">FALSE()</f>
        <v>0</v>
      </c>
      <c r="T408" s="6"/>
      <c r="U408" s="6"/>
      <c r="V408" s="6"/>
      <c r="W408" s="6"/>
    </row>
    <row r="409" customFormat="false" ht="15" hidden="false" customHeight="false" outlineLevel="0" collapsed="false">
      <c r="A409" s="6" t="s">
        <v>2672</v>
      </c>
      <c r="B409" s="6" t="s">
        <v>2673</v>
      </c>
      <c r="C409" s="6" t="s">
        <v>2674</v>
      </c>
      <c r="D409" s="6" t="s">
        <v>39</v>
      </c>
      <c r="E409" s="6" t="s">
        <v>40</v>
      </c>
      <c r="F409" s="6" t="s">
        <v>2557</v>
      </c>
      <c r="G409" s="6" t="s">
        <v>2570</v>
      </c>
      <c r="H409" s="6" t="s">
        <v>2571</v>
      </c>
      <c r="I409" s="7" t="n">
        <v>3500</v>
      </c>
      <c r="J409" s="7" t="n">
        <v>5600</v>
      </c>
      <c r="K409" s="6" t="n">
        <v>0</v>
      </c>
      <c r="L409" s="6" t="n">
        <v>4</v>
      </c>
      <c r="M409" s="6" t="s">
        <v>1409</v>
      </c>
      <c r="N409" s="6" t="s">
        <v>2675</v>
      </c>
      <c r="O409" s="8" t="b">
        <f aca="false">TRUE()</f>
        <v>1</v>
      </c>
      <c r="P409" s="6" t="s">
        <v>2676</v>
      </c>
      <c r="Q409" s="6" t="s">
        <v>2574</v>
      </c>
      <c r="R409" s="6" t="s">
        <v>2574</v>
      </c>
      <c r="S409" s="9" t="b">
        <f aca="false">FALSE()</f>
        <v>0</v>
      </c>
      <c r="T409" s="6"/>
      <c r="U409" s="6"/>
      <c r="V409" s="6"/>
      <c r="W409" s="6"/>
    </row>
    <row r="410" customFormat="false" ht="15" hidden="false" customHeight="false" outlineLevel="0" collapsed="false">
      <c r="A410" s="6" t="s">
        <v>2677</v>
      </c>
      <c r="B410" s="6" t="s">
        <v>2678</v>
      </c>
      <c r="C410" s="6" t="s">
        <v>2679</v>
      </c>
      <c r="D410" s="6" t="s">
        <v>39</v>
      </c>
      <c r="E410" s="6" t="s">
        <v>40</v>
      </c>
      <c r="F410" s="6" t="s">
        <v>2557</v>
      </c>
      <c r="G410" s="6" t="s">
        <v>2570</v>
      </c>
      <c r="H410" s="6" t="s">
        <v>2571</v>
      </c>
      <c r="I410" s="7" t="n">
        <v>3500</v>
      </c>
      <c r="J410" s="7" t="n">
        <v>5600</v>
      </c>
      <c r="K410" s="6" t="n">
        <v>0</v>
      </c>
      <c r="L410" s="6" t="n">
        <v>4</v>
      </c>
      <c r="M410" s="6" t="s">
        <v>1409</v>
      </c>
      <c r="N410" s="6" t="s">
        <v>2680</v>
      </c>
      <c r="O410" s="8" t="b">
        <f aca="false">TRUE()</f>
        <v>1</v>
      </c>
      <c r="P410" s="6" t="s">
        <v>2681</v>
      </c>
      <c r="Q410" s="6" t="s">
        <v>2574</v>
      </c>
      <c r="R410" s="6" t="s">
        <v>2574</v>
      </c>
      <c r="S410" s="9" t="b">
        <f aca="false">FALSE()</f>
        <v>0</v>
      </c>
      <c r="T410" s="6"/>
      <c r="U410" s="6"/>
      <c r="V410" s="6"/>
      <c r="W410" s="6"/>
    </row>
    <row r="411" customFormat="false" ht="15" hidden="false" customHeight="false" outlineLevel="0" collapsed="false">
      <c r="A411" s="6" t="s">
        <v>2682</v>
      </c>
      <c r="B411" s="6" t="s">
        <v>2683</v>
      </c>
      <c r="C411" s="6" t="s">
        <v>2684</v>
      </c>
      <c r="D411" s="6" t="s">
        <v>39</v>
      </c>
      <c r="E411" s="6" t="s">
        <v>40</v>
      </c>
      <c r="F411" s="6" t="s">
        <v>2557</v>
      </c>
      <c r="G411" s="6" t="s">
        <v>2570</v>
      </c>
      <c r="H411" s="6" t="s">
        <v>2571</v>
      </c>
      <c r="I411" s="7" t="n">
        <v>3500</v>
      </c>
      <c r="J411" s="7" t="n">
        <v>5600</v>
      </c>
      <c r="K411" s="6" t="n">
        <v>0</v>
      </c>
      <c r="L411" s="6" t="n">
        <v>4</v>
      </c>
      <c r="M411" s="6" t="s">
        <v>1409</v>
      </c>
      <c r="N411" s="6" t="s">
        <v>2685</v>
      </c>
      <c r="O411" s="8" t="b">
        <f aca="false">TRUE()</f>
        <v>1</v>
      </c>
      <c r="P411" s="6" t="s">
        <v>2686</v>
      </c>
      <c r="Q411" s="6" t="s">
        <v>2574</v>
      </c>
      <c r="R411" s="6" t="s">
        <v>2574</v>
      </c>
      <c r="S411" s="9" t="b">
        <f aca="false">FALSE()</f>
        <v>0</v>
      </c>
      <c r="T411" s="6"/>
      <c r="U411" s="6"/>
      <c r="V411" s="6"/>
      <c r="W411" s="6"/>
    </row>
    <row r="412" customFormat="false" ht="15" hidden="false" customHeight="false" outlineLevel="0" collapsed="false">
      <c r="A412" s="6" t="s">
        <v>2687</v>
      </c>
      <c r="B412" s="6" t="s">
        <v>2688</v>
      </c>
      <c r="C412" s="6" t="s">
        <v>2689</v>
      </c>
      <c r="D412" s="6" t="s">
        <v>39</v>
      </c>
      <c r="E412" s="6" t="s">
        <v>40</v>
      </c>
      <c r="F412" s="6" t="s">
        <v>2557</v>
      </c>
      <c r="G412" s="6" t="s">
        <v>2570</v>
      </c>
      <c r="H412" s="6" t="s">
        <v>2571</v>
      </c>
      <c r="I412" s="7" t="n">
        <v>3500</v>
      </c>
      <c r="J412" s="7" t="n">
        <v>5600</v>
      </c>
      <c r="K412" s="6" t="n">
        <v>0</v>
      </c>
      <c r="L412" s="6" t="n">
        <v>4</v>
      </c>
      <c r="M412" s="6" t="s">
        <v>1409</v>
      </c>
      <c r="N412" s="6" t="s">
        <v>2690</v>
      </c>
      <c r="O412" s="8" t="b">
        <f aca="false">TRUE()</f>
        <v>1</v>
      </c>
      <c r="P412" s="6" t="s">
        <v>2691</v>
      </c>
      <c r="Q412" s="6" t="s">
        <v>2574</v>
      </c>
      <c r="R412" s="6" t="s">
        <v>2574</v>
      </c>
      <c r="S412" s="9" t="b">
        <f aca="false">FALSE()</f>
        <v>0</v>
      </c>
      <c r="T412" s="6"/>
      <c r="U412" s="6"/>
      <c r="V412" s="6"/>
      <c r="W412" s="6"/>
    </row>
    <row r="413" customFormat="false" ht="15" hidden="false" customHeight="false" outlineLevel="0" collapsed="false">
      <c r="A413" s="6" t="s">
        <v>2692</v>
      </c>
      <c r="B413" s="6" t="s">
        <v>2693</v>
      </c>
      <c r="C413" s="6" t="s">
        <v>2694</v>
      </c>
      <c r="D413" s="6" t="s">
        <v>39</v>
      </c>
      <c r="E413" s="6" t="s">
        <v>40</v>
      </c>
      <c r="F413" s="6" t="s">
        <v>2557</v>
      </c>
      <c r="G413" s="6" t="s">
        <v>2570</v>
      </c>
      <c r="H413" s="6" t="s">
        <v>2571</v>
      </c>
      <c r="I413" s="7" t="n">
        <v>3500</v>
      </c>
      <c r="J413" s="7" t="n">
        <v>5600</v>
      </c>
      <c r="K413" s="6" t="n">
        <v>0</v>
      </c>
      <c r="L413" s="6" t="n">
        <v>4</v>
      </c>
      <c r="M413" s="6" t="s">
        <v>1409</v>
      </c>
      <c r="N413" s="6" t="s">
        <v>2695</v>
      </c>
      <c r="O413" s="8" t="b">
        <f aca="false">TRUE()</f>
        <v>1</v>
      </c>
      <c r="P413" s="6" t="s">
        <v>2696</v>
      </c>
      <c r="Q413" s="6" t="s">
        <v>2574</v>
      </c>
      <c r="R413" s="6" t="s">
        <v>2574</v>
      </c>
      <c r="S413" s="9" t="b">
        <f aca="false">FALSE()</f>
        <v>0</v>
      </c>
      <c r="T413" s="6"/>
      <c r="U413" s="6"/>
      <c r="V413" s="6"/>
      <c r="W413" s="6"/>
    </row>
    <row r="414" customFormat="false" ht="15" hidden="false" customHeight="false" outlineLevel="0" collapsed="false">
      <c r="A414" s="6" t="s">
        <v>2697</v>
      </c>
      <c r="B414" s="6" t="s">
        <v>2698</v>
      </c>
      <c r="C414" s="6" t="s">
        <v>2699</v>
      </c>
      <c r="D414" s="6" t="s">
        <v>39</v>
      </c>
      <c r="E414" s="6" t="s">
        <v>40</v>
      </c>
      <c r="F414" s="6" t="s">
        <v>2557</v>
      </c>
      <c r="G414" s="6" t="s">
        <v>2570</v>
      </c>
      <c r="H414" s="6" t="s">
        <v>2571</v>
      </c>
      <c r="I414" s="7" t="n">
        <v>3500</v>
      </c>
      <c r="J414" s="7" t="n">
        <v>5600</v>
      </c>
      <c r="K414" s="6" t="n">
        <v>0</v>
      </c>
      <c r="L414" s="6" t="n">
        <v>4</v>
      </c>
      <c r="M414" s="6" t="s">
        <v>1409</v>
      </c>
      <c r="N414" s="6" t="s">
        <v>2700</v>
      </c>
      <c r="O414" s="8" t="b">
        <f aca="false">TRUE()</f>
        <v>1</v>
      </c>
      <c r="P414" s="6" t="s">
        <v>2701</v>
      </c>
      <c r="Q414" s="6" t="s">
        <v>2574</v>
      </c>
      <c r="R414" s="6" t="s">
        <v>2574</v>
      </c>
      <c r="S414" s="9" t="b">
        <f aca="false">FALSE()</f>
        <v>0</v>
      </c>
      <c r="T414" s="6"/>
      <c r="U414" s="6"/>
      <c r="V414" s="6"/>
      <c r="W414" s="6"/>
    </row>
    <row r="415" customFormat="false" ht="15" hidden="false" customHeight="false" outlineLevel="0" collapsed="false">
      <c r="A415" s="6" t="s">
        <v>2702</v>
      </c>
      <c r="B415" s="6" t="s">
        <v>2703</v>
      </c>
      <c r="C415" s="6" t="s">
        <v>2704</v>
      </c>
      <c r="D415" s="6" t="s">
        <v>39</v>
      </c>
      <c r="E415" s="6" t="s">
        <v>40</v>
      </c>
      <c r="F415" s="6" t="s">
        <v>2557</v>
      </c>
      <c r="G415" s="6" t="s">
        <v>2570</v>
      </c>
      <c r="H415" s="6" t="s">
        <v>2571</v>
      </c>
      <c r="I415" s="7" t="n">
        <v>3500</v>
      </c>
      <c r="J415" s="7" t="n">
        <v>5600</v>
      </c>
      <c r="K415" s="6" t="n">
        <v>0</v>
      </c>
      <c r="L415" s="6" t="n">
        <v>4</v>
      </c>
      <c r="M415" s="6" t="s">
        <v>1409</v>
      </c>
      <c r="N415" s="6" t="s">
        <v>2705</v>
      </c>
      <c r="O415" s="8" t="b">
        <f aca="false">TRUE()</f>
        <v>1</v>
      </c>
      <c r="P415" s="6" t="s">
        <v>2706</v>
      </c>
      <c r="Q415" s="6" t="s">
        <v>2574</v>
      </c>
      <c r="R415" s="6" t="s">
        <v>2574</v>
      </c>
      <c r="S415" s="9" t="b">
        <f aca="false">FALSE()</f>
        <v>0</v>
      </c>
      <c r="T415" s="6"/>
      <c r="U415" s="6"/>
      <c r="V415" s="6"/>
      <c r="W415" s="6"/>
    </row>
    <row r="416" customFormat="false" ht="15" hidden="false" customHeight="false" outlineLevel="0" collapsed="false">
      <c r="A416" s="6" t="s">
        <v>2707</v>
      </c>
      <c r="B416" s="6" t="s">
        <v>2708</v>
      </c>
      <c r="C416" s="6" t="s">
        <v>2709</v>
      </c>
      <c r="D416" s="6" t="s">
        <v>39</v>
      </c>
      <c r="E416" s="6" t="s">
        <v>40</v>
      </c>
      <c r="F416" s="6" t="s">
        <v>2557</v>
      </c>
      <c r="G416" s="6" t="s">
        <v>2570</v>
      </c>
      <c r="H416" s="6" t="s">
        <v>2571</v>
      </c>
      <c r="I416" s="7" t="n">
        <v>3500</v>
      </c>
      <c r="J416" s="7" t="n">
        <v>5600</v>
      </c>
      <c r="K416" s="6" t="n">
        <v>0</v>
      </c>
      <c r="L416" s="6" t="n">
        <v>4</v>
      </c>
      <c r="M416" s="6" t="s">
        <v>1409</v>
      </c>
      <c r="N416" s="6" t="s">
        <v>2710</v>
      </c>
      <c r="O416" s="8" t="b">
        <f aca="false">TRUE()</f>
        <v>1</v>
      </c>
      <c r="P416" s="6" t="s">
        <v>2711</v>
      </c>
      <c r="Q416" s="6" t="s">
        <v>2574</v>
      </c>
      <c r="R416" s="6" t="s">
        <v>2574</v>
      </c>
      <c r="S416" s="9" t="b">
        <f aca="false">FALSE()</f>
        <v>0</v>
      </c>
      <c r="T416" s="6"/>
      <c r="U416" s="6"/>
      <c r="V416" s="6"/>
      <c r="W416" s="6"/>
    </row>
    <row r="417" customFormat="false" ht="15" hidden="false" customHeight="false" outlineLevel="0" collapsed="false">
      <c r="A417" s="6" t="s">
        <v>2712</v>
      </c>
      <c r="B417" s="6" t="s">
        <v>2713</v>
      </c>
      <c r="C417" s="6" t="s">
        <v>2714</v>
      </c>
      <c r="D417" s="6" t="s">
        <v>39</v>
      </c>
      <c r="E417" s="6" t="s">
        <v>40</v>
      </c>
      <c r="F417" s="6" t="s">
        <v>2557</v>
      </c>
      <c r="G417" s="6" t="s">
        <v>2570</v>
      </c>
      <c r="H417" s="6" t="s">
        <v>2571</v>
      </c>
      <c r="I417" s="7" t="n">
        <v>3500</v>
      </c>
      <c r="J417" s="7" t="n">
        <v>5600</v>
      </c>
      <c r="K417" s="6" t="n">
        <v>0</v>
      </c>
      <c r="L417" s="6" t="n">
        <v>4</v>
      </c>
      <c r="M417" s="6" t="s">
        <v>1409</v>
      </c>
      <c r="N417" s="6" t="s">
        <v>2715</v>
      </c>
      <c r="O417" s="8" t="b">
        <f aca="false">TRUE()</f>
        <v>1</v>
      </c>
      <c r="P417" s="6" t="s">
        <v>2716</v>
      </c>
      <c r="Q417" s="6" t="s">
        <v>2574</v>
      </c>
      <c r="R417" s="6" t="s">
        <v>2574</v>
      </c>
      <c r="S417" s="9" t="b">
        <f aca="false">FALSE()</f>
        <v>0</v>
      </c>
      <c r="T417" s="6"/>
      <c r="U417" s="6"/>
      <c r="V417" s="6"/>
      <c r="W417" s="6"/>
    </row>
    <row r="418" customFormat="false" ht="15" hidden="false" customHeight="false" outlineLevel="0" collapsed="false">
      <c r="A418" s="6" t="s">
        <v>2717</v>
      </c>
      <c r="B418" s="6" t="s">
        <v>2718</v>
      </c>
      <c r="C418" s="6" t="s">
        <v>2719</v>
      </c>
      <c r="D418" s="6" t="s">
        <v>39</v>
      </c>
      <c r="E418" s="6" t="s">
        <v>40</v>
      </c>
      <c r="F418" s="6" t="s">
        <v>2557</v>
      </c>
      <c r="G418" s="6" t="s">
        <v>2570</v>
      </c>
      <c r="H418" s="6" t="s">
        <v>2571</v>
      </c>
      <c r="I418" s="7" t="n">
        <v>3500</v>
      </c>
      <c r="J418" s="7" t="n">
        <v>5600</v>
      </c>
      <c r="K418" s="6" t="n">
        <v>0</v>
      </c>
      <c r="L418" s="6" t="n">
        <v>4</v>
      </c>
      <c r="M418" s="6" t="s">
        <v>1409</v>
      </c>
      <c r="N418" s="6" t="s">
        <v>2720</v>
      </c>
      <c r="O418" s="8" t="b">
        <f aca="false">TRUE()</f>
        <v>1</v>
      </c>
      <c r="P418" s="6" t="s">
        <v>2721</v>
      </c>
      <c r="Q418" s="6" t="s">
        <v>2574</v>
      </c>
      <c r="R418" s="6" t="s">
        <v>2574</v>
      </c>
      <c r="S418" s="9" t="b">
        <f aca="false">FALSE()</f>
        <v>0</v>
      </c>
      <c r="T418" s="6"/>
      <c r="U418" s="6"/>
      <c r="V418" s="6"/>
      <c r="W418" s="6"/>
    </row>
    <row r="419" customFormat="false" ht="15" hidden="false" customHeight="false" outlineLevel="0" collapsed="false">
      <c r="A419" s="6" t="s">
        <v>2722</v>
      </c>
      <c r="B419" s="6" t="s">
        <v>2723</v>
      </c>
      <c r="C419" s="6" t="s">
        <v>2724</v>
      </c>
      <c r="D419" s="6" t="s">
        <v>39</v>
      </c>
      <c r="E419" s="6" t="s">
        <v>40</v>
      </c>
      <c r="F419" s="6" t="s">
        <v>2557</v>
      </c>
      <c r="G419" s="6" t="s">
        <v>2570</v>
      </c>
      <c r="H419" s="6" t="s">
        <v>2571</v>
      </c>
      <c r="I419" s="7" t="n">
        <v>3500</v>
      </c>
      <c r="J419" s="7" t="n">
        <v>5600</v>
      </c>
      <c r="K419" s="6" t="n">
        <v>0</v>
      </c>
      <c r="L419" s="6" t="n">
        <v>4</v>
      </c>
      <c r="M419" s="6" t="s">
        <v>1409</v>
      </c>
      <c r="N419" s="6" t="s">
        <v>2725</v>
      </c>
      <c r="O419" s="8" t="b">
        <f aca="false">TRUE()</f>
        <v>1</v>
      </c>
      <c r="P419" s="6" t="s">
        <v>2726</v>
      </c>
      <c r="Q419" s="6" t="s">
        <v>2574</v>
      </c>
      <c r="R419" s="6" t="s">
        <v>2574</v>
      </c>
      <c r="S419" s="9" t="b">
        <f aca="false">FALSE()</f>
        <v>0</v>
      </c>
      <c r="T419" s="6"/>
      <c r="U419" s="6"/>
      <c r="V419" s="6"/>
      <c r="W419" s="6"/>
    </row>
    <row r="420" customFormat="false" ht="15" hidden="false" customHeight="false" outlineLevel="0" collapsed="false">
      <c r="A420" s="6" t="s">
        <v>2727</v>
      </c>
      <c r="B420" s="6" t="s">
        <v>2728</v>
      </c>
      <c r="C420" s="6" t="s">
        <v>2729</v>
      </c>
      <c r="D420" s="6" t="s">
        <v>39</v>
      </c>
      <c r="E420" s="6" t="s">
        <v>40</v>
      </c>
      <c r="F420" s="6" t="s">
        <v>2557</v>
      </c>
      <c r="G420" s="6" t="s">
        <v>2570</v>
      </c>
      <c r="H420" s="6" t="s">
        <v>2571</v>
      </c>
      <c r="I420" s="7" t="n">
        <v>3500</v>
      </c>
      <c r="J420" s="7" t="n">
        <v>5600</v>
      </c>
      <c r="K420" s="6" t="n">
        <v>0</v>
      </c>
      <c r="L420" s="6" t="n">
        <v>4</v>
      </c>
      <c r="M420" s="6" t="s">
        <v>87</v>
      </c>
      <c r="N420" s="6" t="s">
        <v>2730</v>
      </c>
      <c r="O420" s="8" t="b">
        <f aca="false">TRUE()</f>
        <v>1</v>
      </c>
      <c r="P420" s="6" t="s">
        <v>2731</v>
      </c>
      <c r="Q420" s="6" t="s">
        <v>2574</v>
      </c>
      <c r="R420" s="6" t="s">
        <v>2574</v>
      </c>
      <c r="S420" s="9" t="b">
        <f aca="false">FALSE()</f>
        <v>0</v>
      </c>
      <c r="T420" s="6"/>
      <c r="U420" s="6"/>
      <c r="V420" s="6"/>
      <c r="W420" s="6"/>
    </row>
    <row r="421" customFormat="false" ht="15" hidden="false" customHeight="false" outlineLevel="0" collapsed="false">
      <c r="A421" s="6" t="s">
        <v>2732</v>
      </c>
      <c r="B421" s="6" t="s">
        <v>2733</v>
      </c>
      <c r="C421" s="6" t="s">
        <v>2734</v>
      </c>
      <c r="D421" s="6" t="s">
        <v>39</v>
      </c>
      <c r="E421" s="6" t="s">
        <v>40</v>
      </c>
      <c r="F421" s="6" t="s">
        <v>2557</v>
      </c>
      <c r="G421" s="6" t="s">
        <v>2570</v>
      </c>
      <c r="H421" s="6" t="s">
        <v>2571</v>
      </c>
      <c r="I421" s="7" t="n">
        <v>3500</v>
      </c>
      <c r="J421" s="7" t="n">
        <v>5600</v>
      </c>
      <c r="K421" s="6" t="n">
        <v>0</v>
      </c>
      <c r="L421" s="6" t="n">
        <v>4</v>
      </c>
      <c r="M421" s="6" t="s">
        <v>87</v>
      </c>
      <c r="N421" s="6" t="s">
        <v>2735</v>
      </c>
      <c r="O421" s="8" t="b">
        <f aca="false">TRUE()</f>
        <v>1</v>
      </c>
      <c r="P421" s="6" t="s">
        <v>2736</v>
      </c>
      <c r="Q421" s="6" t="s">
        <v>2574</v>
      </c>
      <c r="R421" s="6" t="s">
        <v>2574</v>
      </c>
      <c r="S421" s="9" t="b">
        <f aca="false">FALSE()</f>
        <v>0</v>
      </c>
      <c r="T421" s="6"/>
      <c r="U421" s="6"/>
      <c r="V421" s="6"/>
      <c r="W421" s="6"/>
    </row>
    <row r="422" customFormat="false" ht="15" hidden="false" customHeight="false" outlineLevel="0" collapsed="false">
      <c r="A422" s="6" t="s">
        <v>2737</v>
      </c>
      <c r="B422" s="6" t="s">
        <v>2738</v>
      </c>
      <c r="C422" s="6" t="s">
        <v>2739</v>
      </c>
      <c r="D422" s="6" t="s">
        <v>39</v>
      </c>
      <c r="E422" s="6" t="s">
        <v>40</v>
      </c>
      <c r="F422" s="6" t="s">
        <v>2557</v>
      </c>
      <c r="G422" s="6" t="s">
        <v>2570</v>
      </c>
      <c r="H422" s="6" t="s">
        <v>2571</v>
      </c>
      <c r="I422" s="7" t="n">
        <v>3500</v>
      </c>
      <c r="J422" s="7" t="n">
        <v>5600</v>
      </c>
      <c r="K422" s="6" t="n">
        <v>0</v>
      </c>
      <c r="L422" s="6" t="n">
        <v>4</v>
      </c>
      <c r="M422" s="6" t="s">
        <v>1409</v>
      </c>
      <c r="N422" s="6" t="s">
        <v>2740</v>
      </c>
      <c r="O422" s="8" t="b">
        <f aca="false">TRUE()</f>
        <v>1</v>
      </c>
      <c r="P422" s="6" t="s">
        <v>2741</v>
      </c>
      <c r="Q422" s="6" t="s">
        <v>2574</v>
      </c>
      <c r="R422" s="6" t="s">
        <v>2574</v>
      </c>
      <c r="S422" s="9" t="b">
        <f aca="false">FALSE()</f>
        <v>0</v>
      </c>
      <c r="T422" s="6"/>
      <c r="U422" s="6"/>
      <c r="V422" s="6"/>
      <c r="W422" s="6"/>
    </row>
    <row r="423" customFormat="false" ht="15" hidden="false" customHeight="false" outlineLevel="0" collapsed="false">
      <c r="A423" s="6" t="s">
        <v>2742</v>
      </c>
      <c r="B423" s="6" t="s">
        <v>2743</v>
      </c>
      <c r="C423" s="6" t="s">
        <v>2744</v>
      </c>
      <c r="D423" s="6" t="s">
        <v>39</v>
      </c>
      <c r="E423" s="6" t="s">
        <v>40</v>
      </c>
      <c r="F423" s="6" t="s">
        <v>2557</v>
      </c>
      <c r="G423" s="6" t="s">
        <v>2570</v>
      </c>
      <c r="H423" s="6" t="s">
        <v>2571</v>
      </c>
      <c r="I423" s="7" t="n">
        <v>3500</v>
      </c>
      <c r="J423" s="7" t="n">
        <v>5600</v>
      </c>
      <c r="K423" s="6" t="n">
        <v>0</v>
      </c>
      <c r="L423" s="6" t="n">
        <v>4</v>
      </c>
      <c r="M423" s="6" t="s">
        <v>1409</v>
      </c>
      <c r="N423" s="6" t="s">
        <v>2745</v>
      </c>
      <c r="O423" s="8" t="b">
        <f aca="false">TRUE()</f>
        <v>1</v>
      </c>
      <c r="P423" s="6" t="s">
        <v>2746</v>
      </c>
      <c r="Q423" s="6" t="s">
        <v>2574</v>
      </c>
      <c r="R423" s="6" t="s">
        <v>2574</v>
      </c>
      <c r="S423" s="9" t="b">
        <f aca="false">FALSE()</f>
        <v>0</v>
      </c>
      <c r="T423" s="6"/>
      <c r="U423" s="6"/>
      <c r="V423" s="6"/>
      <c r="W423" s="6"/>
    </row>
    <row r="424" customFormat="false" ht="15" hidden="false" customHeight="false" outlineLevel="0" collapsed="false">
      <c r="A424" s="6" t="s">
        <v>2747</v>
      </c>
      <c r="B424" s="6" t="s">
        <v>2748</v>
      </c>
      <c r="C424" s="6" t="s">
        <v>2749</v>
      </c>
      <c r="D424" s="6" t="s">
        <v>39</v>
      </c>
      <c r="E424" s="6" t="s">
        <v>40</v>
      </c>
      <c r="F424" s="6"/>
      <c r="G424" s="6"/>
      <c r="H424" s="6"/>
      <c r="I424" s="7" t="n">
        <v>4500</v>
      </c>
      <c r="J424" s="7" t="n">
        <v>6600</v>
      </c>
      <c r="K424" s="6" t="n">
        <v>0</v>
      </c>
      <c r="L424" s="6" t="n">
        <v>4</v>
      </c>
      <c r="M424" s="6" t="s">
        <v>2750</v>
      </c>
      <c r="N424" s="6" t="s">
        <v>2751</v>
      </c>
      <c r="O424" s="8" t="b">
        <f aca="false">TRUE()</f>
        <v>1</v>
      </c>
      <c r="P424" s="6" t="s">
        <v>2752</v>
      </c>
      <c r="Q424" s="6" t="s">
        <v>2753</v>
      </c>
      <c r="R424" s="6" t="s">
        <v>2753</v>
      </c>
      <c r="S424" s="9" t="b">
        <f aca="false">FALSE()</f>
        <v>0</v>
      </c>
      <c r="T424" s="6"/>
      <c r="U424" s="6"/>
      <c r="V424" s="6"/>
      <c r="W424" s="6"/>
    </row>
    <row r="425" customFormat="false" ht="15" hidden="false" customHeight="false" outlineLevel="0" collapsed="false">
      <c r="A425" s="6" t="s">
        <v>2754</v>
      </c>
      <c r="B425" s="6" t="s">
        <v>2755</v>
      </c>
      <c r="C425" s="6" t="s">
        <v>2756</v>
      </c>
      <c r="D425" s="6" t="s">
        <v>39</v>
      </c>
      <c r="E425" s="6" t="s">
        <v>40</v>
      </c>
      <c r="F425" s="6"/>
      <c r="G425" s="6"/>
      <c r="H425" s="6" t="s">
        <v>2757</v>
      </c>
      <c r="I425" s="7" t="n">
        <v>7000</v>
      </c>
      <c r="J425" s="7" t="n">
        <v>7000</v>
      </c>
      <c r="K425" s="6" t="n">
        <v>0</v>
      </c>
      <c r="L425" s="6" t="n">
        <v>9</v>
      </c>
      <c r="M425" s="6" t="s">
        <v>2758</v>
      </c>
      <c r="N425" s="6" t="s">
        <v>2759</v>
      </c>
      <c r="O425" s="8" t="b">
        <f aca="false">TRUE()</f>
        <v>1</v>
      </c>
      <c r="P425" s="6" t="s">
        <v>2760</v>
      </c>
      <c r="Q425" s="6" t="s">
        <v>2753</v>
      </c>
      <c r="R425" s="6" t="s">
        <v>2753</v>
      </c>
      <c r="S425" s="9" t="b">
        <f aca="false">FALSE()</f>
        <v>0</v>
      </c>
      <c r="T425" s="6"/>
      <c r="U425" s="6"/>
      <c r="V425" s="6"/>
      <c r="W425" s="6"/>
    </row>
    <row r="426" customFormat="false" ht="15" hidden="false" customHeight="false" outlineLevel="0" collapsed="false">
      <c r="A426" s="6" t="s">
        <v>2761</v>
      </c>
      <c r="B426" s="6" t="s">
        <v>2762</v>
      </c>
      <c r="C426" s="6" t="s">
        <v>2763</v>
      </c>
      <c r="D426" s="6" t="s">
        <v>39</v>
      </c>
      <c r="E426" s="6" t="s">
        <v>40</v>
      </c>
      <c r="F426" s="6"/>
      <c r="G426" s="6"/>
      <c r="H426" s="6" t="s">
        <v>2764</v>
      </c>
      <c r="I426" s="7" t="n">
        <v>6000</v>
      </c>
      <c r="J426" s="7" t="n">
        <v>6000</v>
      </c>
      <c r="K426" s="6" t="n">
        <v>0</v>
      </c>
      <c r="L426" s="6" t="n">
        <v>1</v>
      </c>
      <c r="M426" s="6" t="s">
        <v>2765</v>
      </c>
      <c r="N426" s="6" t="s">
        <v>2766</v>
      </c>
      <c r="O426" s="8" t="b">
        <f aca="false">TRUE()</f>
        <v>1</v>
      </c>
      <c r="P426" s="6" t="s">
        <v>2767</v>
      </c>
      <c r="Q426" s="6" t="s">
        <v>2753</v>
      </c>
      <c r="R426" s="6" t="s">
        <v>2753</v>
      </c>
      <c r="S426" s="9" t="b">
        <f aca="false">FALSE()</f>
        <v>0</v>
      </c>
      <c r="T426" s="6"/>
      <c r="U426" s="6"/>
      <c r="V426" s="6"/>
      <c r="W426" s="6"/>
    </row>
    <row r="427" customFormat="false" ht="15" hidden="false" customHeight="false" outlineLevel="0" collapsed="false">
      <c r="A427" s="6" t="s">
        <v>2768</v>
      </c>
      <c r="B427" s="6" t="s">
        <v>2769</v>
      </c>
      <c r="C427" s="6" t="s">
        <v>2770</v>
      </c>
      <c r="D427" s="6" t="s">
        <v>39</v>
      </c>
      <c r="E427" s="6" t="s">
        <v>40</v>
      </c>
      <c r="F427" s="6"/>
      <c r="G427" s="6"/>
      <c r="H427" s="6" t="s">
        <v>2771</v>
      </c>
      <c r="I427" s="7" t="n">
        <v>1499</v>
      </c>
      <c r="J427" s="7" t="n">
        <v>1499</v>
      </c>
      <c r="K427" s="6" t="n">
        <v>0</v>
      </c>
      <c r="L427" s="6" t="n">
        <v>3</v>
      </c>
      <c r="M427" s="6" t="s">
        <v>2772</v>
      </c>
      <c r="N427" s="6" t="s">
        <v>2773</v>
      </c>
      <c r="O427" s="8" t="b">
        <f aca="false">TRUE()</f>
        <v>1</v>
      </c>
      <c r="P427" s="6" t="s">
        <v>2774</v>
      </c>
      <c r="Q427" s="6" t="s">
        <v>2753</v>
      </c>
      <c r="R427" s="6" t="s">
        <v>2753</v>
      </c>
      <c r="S427" s="10" t="b">
        <f aca="false">TRUE()</f>
        <v>1</v>
      </c>
      <c r="T427" s="6" t="s">
        <v>2775</v>
      </c>
      <c r="U427" s="6" t="s">
        <v>2776</v>
      </c>
      <c r="V427" s="6" t="s">
        <v>2777</v>
      </c>
      <c r="W427" s="6" t="s">
        <v>358</v>
      </c>
    </row>
    <row r="428" customFormat="false" ht="15" hidden="false" customHeight="false" outlineLevel="0" collapsed="false">
      <c r="A428" s="6" t="s">
        <v>2778</v>
      </c>
      <c r="B428" s="6" t="s">
        <v>2779</v>
      </c>
      <c r="C428" s="6" t="s">
        <v>2780</v>
      </c>
      <c r="D428" s="6" t="s">
        <v>39</v>
      </c>
      <c r="E428" s="6" t="s">
        <v>40</v>
      </c>
      <c r="F428" s="6"/>
      <c r="G428" s="6"/>
      <c r="H428" s="6" t="s">
        <v>2771</v>
      </c>
      <c r="I428" s="7" t="n">
        <v>999</v>
      </c>
      <c r="J428" s="7" t="n">
        <v>999</v>
      </c>
      <c r="K428" s="6" t="n">
        <v>0</v>
      </c>
      <c r="L428" s="6" t="n">
        <v>3</v>
      </c>
      <c r="M428" s="6" t="s">
        <v>2781</v>
      </c>
      <c r="N428" s="6" t="s">
        <v>2782</v>
      </c>
      <c r="O428" s="8" t="b">
        <f aca="false">TRUE()</f>
        <v>1</v>
      </c>
      <c r="P428" s="6" t="s">
        <v>2783</v>
      </c>
      <c r="Q428" s="6" t="s">
        <v>2753</v>
      </c>
      <c r="R428" s="6" t="s">
        <v>2753</v>
      </c>
      <c r="S428" s="9" t="b">
        <f aca="false">FALSE()</f>
        <v>0</v>
      </c>
      <c r="T428" s="6"/>
      <c r="U428" s="6"/>
      <c r="V428" s="6"/>
      <c r="W428" s="6"/>
    </row>
    <row r="429" customFormat="false" ht="15" hidden="false" customHeight="false" outlineLevel="0" collapsed="false">
      <c r="A429" s="6" t="s">
        <v>2784</v>
      </c>
      <c r="B429" s="6" t="s">
        <v>2785</v>
      </c>
      <c r="C429" s="6" t="s">
        <v>2786</v>
      </c>
      <c r="D429" s="6" t="s">
        <v>39</v>
      </c>
      <c r="E429" s="6" t="s">
        <v>40</v>
      </c>
      <c r="F429" s="6"/>
      <c r="G429" s="6"/>
      <c r="H429" s="6" t="s">
        <v>2771</v>
      </c>
      <c r="I429" s="7" t="n">
        <v>999</v>
      </c>
      <c r="J429" s="7" t="n">
        <v>999</v>
      </c>
      <c r="K429" s="6" t="n">
        <v>0</v>
      </c>
      <c r="L429" s="6" t="n">
        <v>3</v>
      </c>
      <c r="M429" s="6" t="s">
        <v>2781</v>
      </c>
      <c r="N429" s="6" t="s">
        <v>2787</v>
      </c>
      <c r="O429" s="8" t="b">
        <f aca="false">TRUE()</f>
        <v>1</v>
      </c>
      <c r="P429" s="6" t="s">
        <v>2788</v>
      </c>
      <c r="Q429" s="6" t="s">
        <v>2753</v>
      </c>
      <c r="R429" s="6" t="s">
        <v>2753</v>
      </c>
      <c r="S429" s="10" t="b">
        <f aca="false">TRUE()</f>
        <v>1</v>
      </c>
      <c r="T429" s="6" t="s">
        <v>2789</v>
      </c>
      <c r="U429" s="6" t="s">
        <v>2776</v>
      </c>
      <c r="V429" s="6" t="s">
        <v>2790</v>
      </c>
      <c r="W429" s="6" t="s">
        <v>358</v>
      </c>
    </row>
    <row r="430" customFormat="false" ht="15" hidden="false" customHeight="false" outlineLevel="0" collapsed="false">
      <c r="A430" s="6" t="s">
        <v>2791</v>
      </c>
      <c r="B430" s="6" t="s">
        <v>2792</v>
      </c>
      <c r="C430" s="6" t="s">
        <v>2793</v>
      </c>
      <c r="D430" s="6" t="s">
        <v>39</v>
      </c>
      <c r="E430" s="6" t="s">
        <v>40</v>
      </c>
      <c r="F430" s="6"/>
      <c r="G430" s="6"/>
      <c r="H430" s="6" t="s">
        <v>2794</v>
      </c>
      <c r="I430" s="7" t="n">
        <v>8999</v>
      </c>
      <c r="J430" s="7" t="n">
        <v>11999</v>
      </c>
      <c r="K430" s="6" t="n">
        <v>0</v>
      </c>
      <c r="L430" s="6" t="n">
        <v>2</v>
      </c>
      <c r="M430" s="6" t="s">
        <v>2795</v>
      </c>
      <c r="N430" s="6" t="s">
        <v>2796</v>
      </c>
      <c r="O430" s="8" t="b">
        <f aca="false">TRUE()</f>
        <v>1</v>
      </c>
      <c r="P430" s="6" t="s">
        <v>2797</v>
      </c>
      <c r="Q430" s="6" t="s">
        <v>2798</v>
      </c>
      <c r="R430" s="6" t="s">
        <v>2798</v>
      </c>
      <c r="S430" s="9" t="b">
        <f aca="false">FALSE()</f>
        <v>0</v>
      </c>
      <c r="T430" s="6"/>
      <c r="U430" s="6"/>
      <c r="V430" s="6"/>
      <c r="W430" s="6"/>
    </row>
    <row r="431" customFormat="false" ht="15" hidden="false" customHeight="false" outlineLevel="0" collapsed="false">
      <c r="A431" s="6" t="s">
        <v>2799</v>
      </c>
      <c r="B431" s="6" t="s">
        <v>2800</v>
      </c>
      <c r="C431" s="6" t="s">
        <v>2801</v>
      </c>
      <c r="D431" s="6" t="s">
        <v>39</v>
      </c>
      <c r="E431" s="6" t="s">
        <v>40</v>
      </c>
      <c r="F431" s="6"/>
      <c r="G431" s="6"/>
      <c r="H431" s="6" t="s">
        <v>2764</v>
      </c>
      <c r="I431" s="7" t="n">
        <v>3999</v>
      </c>
      <c r="J431" s="7" t="n">
        <v>3999</v>
      </c>
      <c r="K431" s="6" t="n">
        <v>0</v>
      </c>
      <c r="L431" s="6" t="n">
        <v>1</v>
      </c>
      <c r="M431" s="6" t="s">
        <v>2802</v>
      </c>
      <c r="N431" s="6" t="s">
        <v>2803</v>
      </c>
      <c r="O431" s="8" t="b">
        <f aca="false">TRUE()</f>
        <v>1</v>
      </c>
      <c r="P431" s="6" t="s">
        <v>2804</v>
      </c>
      <c r="Q431" s="6" t="s">
        <v>2798</v>
      </c>
      <c r="R431" s="6" t="s">
        <v>2798</v>
      </c>
      <c r="S431" s="9" t="b">
        <f aca="false">FALSE()</f>
        <v>0</v>
      </c>
      <c r="T431" s="6"/>
      <c r="U431" s="6"/>
      <c r="V431" s="6"/>
      <c r="W431" s="6"/>
    </row>
    <row r="432" customFormat="false" ht="15" hidden="false" customHeight="false" outlineLevel="0" collapsed="false">
      <c r="A432" s="6" t="s">
        <v>2805</v>
      </c>
      <c r="B432" s="6" t="s">
        <v>2806</v>
      </c>
      <c r="C432" s="6" t="s">
        <v>2807</v>
      </c>
      <c r="D432" s="6" t="s">
        <v>39</v>
      </c>
      <c r="E432" s="6" t="s">
        <v>40</v>
      </c>
      <c r="F432" s="6"/>
      <c r="G432" s="6"/>
      <c r="H432" s="6" t="s">
        <v>2764</v>
      </c>
      <c r="I432" s="7" t="n">
        <v>3999</v>
      </c>
      <c r="J432" s="7" t="n">
        <v>3999</v>
      </c>
      <c r="K432" s="6" t="n">
        <v>0</v>
      </c>
      <c r="L432" s="6" t="n">
        <v>1</v>
      </c>
      <c r="M432" s="6" t="s">
        <v>2802</v>
      </c>
      <c r="N432" s="6" t="s">
        <v>2808</v>
      </c>
      <c r="O432" s="8" t="b">
        <f aca="false">TRUE()</f>
        <v>1</v>
      </c>
      <c r="P432" s="6" t="s">
        <v>2809</v>
      </c>
      <c r="Q432" s="6" t="s">
        <v>2798</v>
      </c>
      <c r="R432" s="6" t="s">
        <v>2798</v>
      </c>
      <c r="S432" s="9" t="b">
        <f aca="false">FALSE()</f>
        <v>0</v>
      </c>
      <c r="T432" s="6"/>
      <c r="U432" s="6"/>
      <c r="V432" s="6"/>
      <c r="W432" s="6"/>
    </row>
    <row r="433" customFormat="false" ht="15" hidden="false" customHeight="false" outlineLevel="0" collapsed="false">
      <c r="A433" s="6" t="s">
        <v>2810</v>
      </c>
      <c r="B433" s="6" t="s">
        <v>2811</v>
      </c>
      <c r="C433" s="6" t="s">
        <v>2812</v>
      </c>
      <c r="D433" s="6" t="s">
        <v>39</v>
      </c>
      <c r="E433" s="6" t="s">
        <v>40</v>
      </c>
      <c r="F433" s="6"/>
      <c r="G433" s="6"/>
      <c r="H433" s="6" t="s">
        <v>2764</v>
      </c>
      <c r="I433" s="7" t="n">
        <v>3999</v>
      </c>
      <c r="J433" s="7" t="n">
        <v>3999</v>
      </c>
      <c r="K433" s="6" t="n">
        <v>0</v>
      </c>
      <c r="L433" s="6" t="n">
        <v>1</v>
      </c>
      <c r="M433" s="6" t="s">
        <v>2802</v>
      </c>
      <c r="N433" s="6" t="s">
        <v>2813</v>
      </c>
      <c r="O433" s="8" t="b">
        <f aca="false">TRUE()</f>
        <v>1</v>
      </c>
      <c r="P433" s="6" t="s">
        <v>2814</v>
      </c>
      <c r="Q433" s="6" t="s">
        <v>2798</v>
      </c>
      <c r="R433" s="6" t="s">
        <v>2798</v>
      </c>
      <c r="S433" s="9" t="b">
        <f aca="false">FALSE()</f>
        <v>0</v>
      </c>
      <c r="T433" s="6"/>
      <c r="U433" s="6"/>
      <c r="V433" s="6"/>
      <c r="W433" s="6"/>
    </row>
    <row r="434" customFormat="false" ht="15" hidden="false" customHeight="false" outlineLevel="0" collapsed="false">
      <c r="A434" s="6" t="s">
        <v>2815</v>
      </c>
      <c r="B434" s="6" t="s">
        <v>2816</v>
      </c>
      <c r="C434" s="6" t="s">
        <v>2817</v>
      </c>
      <c r="D434" s="6" t="s">
        <v>39</v>
      </c>
      <c r="E434" s="6" t="s">
        <v>40</v>
      </c>
      <c r="F434" s="6"/>
      <c r="G434" s="6"/>
      <c r="H434" s="6" t="s">
        <v>2764</v>
      </c>
      <c r="I434" s="7" t="n">
        <v>3999</v>
      </c>
      <c r="J434" s="7" t="n">
        <v>3999</v>
      </c>
      <c r="K434" s="6" t="n">
        <v>0</v>
      </c>
      <c r="L434" s="6" t="n">
        <v>1</v>
      </c>
      <c r="M434" s="6" t="s">
        <v>2802</v>
      </c>
      <c r="N434" s="6" t="s">
        <v>2818</v>
      </c>
      <c r="O434" s="8" t="b">
        <f aca="false">TRUE()</f>
        <v>1</v>
      </c>
      <c r="P434" s="6" t="s">
        <v>2819</v>
      </c>
      <c r="Q434" s="6" t="s">
        <v>2798</v>
      </c>
      <c r="R434" s="6" t="s">
        <v>2798</v>
      </c>
      <c r="S434" s="9" t="b">
        <f aca="false">FALSE()</f>
        <v>0</v>
      </c>
      <c r="T434" s="6"/>
      <c r="U434" s="6"/>
      <c r="V434" s="6"/>
      <c r="W434" s="6"/>
    </row>
    <row r="435" customFormat="false" ht="15" hidden="false" customHeight="false" outlineLevel="0" collapsed="false">
      <c r="A435" s="6" t="s">
        <v>2820</v>
      </c>
      <c r="B435" s="6" t="s">
        <v>2821</v>
      </c>
      <c r="C435" s="6" t="s">
        <v>2822</v>
      </c>
      <c r="D435" s="6" t="s">
        <v>39</v>
      </c>
      <c r="E435" s="6" t="s">
        <v>40</v>
      </c>
      <c r="F435" s="6"/>
      <c r="G435" s="6"/>
      <c r="H435" s="6" t="s">
        <v>2823</v>
      </c>
      <c r="I435" s="7" t="n">
        <v>6500</v>
      </c>
      <c r="J435" s="7" t="n">
        <v>8000</v>
      </c>
      <c r="K435" s="6" t="n">
        <v>0</v>
      </c>
      <c r="L435" s="6" t="n">
        <v>2</v>
      </c>
      <c r="M435" s="6" t="s">
        <v>2824</v>
      </c>
      <c r="N435" s="6" t="s">
        <v>2825</v>
      </c>
      <c r="O435" s="8" t="b">
        <f aca="false">TRUE()</f>
        <v>1</v>
      </c>
      <c r="P435" s="6" t="s">
        <v>2826</v>
      </c>
      <c r="Q435" s="6" t="s">
        <v>2827</v>
      </c>
      <c r="R435" s="6" t="s">
        <v>2827</v>
      </c>
      <c r="S435" s="9" t="b">
        <f aca="false">FALSE()</f>
        <v>0</v>
      </c>
      <c r="T435" s="6"/>
      <c r="U435" s="6"/>
      <c r="V435" s="6"/>
      <c r="W435" s="6"/>
    </row>
    <row r="436" customFormat="false" ht="15" hidden="false" customHeight="false" outlineLevel="0" collapsed="false">
      <c r="A436" s="6" t="s">
        <v>2828</v>
      </c>
      <c r="B436" s="6" t="s">
        <v>2829</v>
      </c>
      <c r="C436" s="6" t="s">
        <v>2830</v>
      </c>
      <c r="D436" s="6" t="s">
        <v>39</v>
      </c>
      <c r="E436" s="6" t="s">
        <v>40</v>
      </c>
      <c r="F436" s="6"/>
      <c r="G436" s="6"/>
      <c r="H436" s="6" t="s">
        <v>2823</v>
      </c>
      <c r="I436" s="7" t="n">
        <v>6500</v>
      </c>
      <c r="J436" s="7" t="n">
        <v>8000</v>
      </c>
      <c r="K436" s="6" t="n">
        <v>0</v>
      </c>
      <c r="L436" s="6" t="n">
        <v>2</v>
      </c>
      <c r="M436" s="6" t="s">
        <v>2831</v>
      </c>
      <c r="N436" s="6" t="s">
        <v>2832</v>
      </c>
      <c r="O436" s="8" t="b">
        <f aca="false">TRUE()</f>
        <v>1</v>
      </c>
      <c r="P436" s="6" t="s">
        <v>2833</v>
      </c>
      <c r="Q436" s="6" t="s">
        <v>2827</v>
      </c>
      <c r="R436" s="6" t="s">
        <v>2827</v>
      </c>
      <c r="S436" s="9" t="b">
        <f aca="false">FALSE()</f>
        <v>0</v>
      </c>
      <c r="T436" s="6"/>
      <c r="U436" s="6"/>
      <c r="V436" s="6"/>
      <c r="W436" s="6"/>
    </row>
    <row r="437" customFormat="false" ht="15" hidden="false" customHeight="false" outlineLevel="0" collapsed="false">
      <c r="A437" s="6" t="s">
        <v>2834</v>
      </c>
      <c r="B437" s="6" t="s">
        <v>2835</v>
      </c>
      <c r="C437" s="6" t="s">
        <v>2836</v>
      </c>
      <c r="D437" s="6" t="s">
        <v>39</v>
      </c>
      <c r="E437" s="6" t="s">
        <v>40</v>
      </c>
      <c r="F437" s="6"/>
      <c r="G437" s="6"/>
      <c r="H437" s="6" t="s">
        <v>2823</v>
      </c>
      <c r="I437" s="7" t="n">
        <v>6500</v>
      </c>
      <c r="J437" s="7" t="n">
        <v>8000</v>
      </c>
      <c r="K437" s="6" t="n">
        <v>0</v>
      </c>
      <c r="L437" s="6" t="n">
        <v>2</v>
      </c>
      <c r="M437" s="6" t="s">
        <v>2837</v>
      </c>
      <c r="N437" s="6" t="s">
        <v>2838</v>
      </c>
      <c r="O437" s="8" t="b">
        <f aca="false">TRUE()</f>
        <v>1</v>
      </c>
      <c r="P437" s="6" t="s">
        <v>2839</v>
      </c>
      <c r="Q437" s="6" t="s">
        <v>2827</v>
      </c>
      <c r="R437" s="6" t="s">
        <v>2827</v>
      </c>
      <c r="S437" s="9" t="b">
        <f aca="false">FALSE()</f>
        <v>0</v>
      </c>
      <c r="T437" s="6"/>
      <c r="U437" s="6"/>
      <c r="V437" s="6"/>
      <c r="W437" s="6"/>
    </row>
    <row r="438" customFormat="false" ht="15" hidden="false" customHeight="false" outlineLevel="0" collapsed="false">
      <c r="A438" s="6" t="s">
        <v>2840</v>
      </c>
      <c r="B438" s="6" t="s">
        <v>2841</v>
      </c>
      <c r="C438" s="6" t="s">
        <v>2842</v>
      </c>
      <c r="D438" s="6" t="s">
        <v>39</v>
      </c>
      <c r="E438" s="6" t="s">
        <v>40</v>
      </c>
      <c r="F438" s="6"/>
      <c r="G438" s="6"/>
      <c r="H438" s="6" t="s">
        <v>2764</v>
      </c>
      <c r="I438" s="7" t="n">
        <v>1999</v>
      </c>
      <c r="J438" s="7" t="n">
        <v>5999</v>
      </c>
      <c r="K438" s="6" t="n">
        <v>0</v>
      </c>
      <c r="L438" s="6" t="n">
        <v>3</v>
      </c>
      <c r="M438" s="6" t="s">
        <v>2843</v>
      </c>
      <c r="N438" s="6" t="s">
        <v>2844</v>
      </c>
      <c r="O438" s="8" t="b">
        <f aca="false">TRUE()</f>
        <v>1</v>
      </c>
      <c r="P438" s="6" t="s">
        <v>2845</v>
      </c>
      <c r="Q438" s="6" t="s">
        <v>2827</v>
      </c>
      <c r="R438" s="6" t="s">
        <v>2827</v>
      </c>
      <c r="S438" s="9" t="b">
        <f aca="false">FALSE()</f>
        <v>0</v>
      </c>
      <c r="T438" s="6"/>
      <c r="U438" s="6"/>
      <c r="V438" s="6"/>
      <c r="W438" s="6"/>
    </row>
    <row r="439" customFormat="false" ht="15" hidden="false" customHeight="false" outlineLevel="0" collapsed="false">
      <c r="A439" s="6" t="s">
        <v>2846</v>
      </c>
      <c r="B439" s="6" t="s">
        <v>2847</v>
      </c>
      <c r="C439" s="6" t="s">
        <v>2848</v>
      </c>
      <c r="D439" s="6" t="s">
        <v>39</v>
      </c>
      <c r="E439" s="6" t="s">
        <v>40</v>
      </c>
      <c r="F439" s="6"/>
      <c r="G439" s="6"/>
      <c r="H439" s="6" t="s">
        <v>2764</v>
      </c>
      <c r="I439" s="7" t="n">
        <v>3000</v>
      </c>
      <c r="J439" s="7" t="n">
        <v>10000</v>
      </c>
      <c r="K439" s="6" t="n">
        <v>0</v>
      </c>
      <c r="L439" s="6" t="n">
        <v>3</v>
      </c>
      <c r="M439" s="6" t="s">
        <v>2849</v>
      </c>
      <c r="N439" s="6" t="s">
        <v>2850</v>
      </c>
      <c r="O439" s="8" t="b">
        <f aca="false">TRUE()</f>
        <v>1</v>
      </c>
      <c r="P439" s="6" t="s">
        <v>2851</v>
      </c>
      <c r="Q439" s="6" t="s">
        <v>2827</v>
      </c>
      <c r="R439" s="6" t="s">
        <v>2827</v>
      </c>
      <c r="S439" s="9" t="b">
        <f aca="false">FALSE()</f>
        <v>0</v>
      </c>
      <c r="T439" s="6"/>
      <c r="U439" s="6"/>
      <c r="V439" s="6"/>
      <c r="W439" s="6"/>
    </row>
    <row r="440" customFormat="false" ht="15" hidden="false" customHeight="false" outlineLevel="0" collapsed="false">
      <c r="A440" s="6" t="s">
        <v>2852</v>
      </c>
      <c r="B440" s="6" t="s">
        <v>2853</v>
      </c>
      <c r="C440" s="6" t="s">
        <v>2854</v>
      </c>
      <c r="D440" s="6" t="s">
        <v>39</v>
      </c>
      <c r="E440" s="6" t="s">
        <v>40</v>
      </c>
      <c r="F440" s="6"/>
      <c r="G440" s="6"/>
      <c r="H440" s="6" t="s">
        <v>2855</v>
      </c>
      <c r="I440" s="7" t="n">
        <v>2500</v>
      </c>
      <c r="J440" s="7" t="n">
        <v>2500</v>
      </c>
      <c r="K440" s="6" t="n">
        <v>0</v>
      </c>
      <c r="L440" s="6" t="n">
        <v>1</v>
      </c>
      <c r="M440" s="6" t="s">
        <v>2856</v>
      </c>
      <c r="N440" s="6" t="s">
        <v>2857</v>
      </c>
      <c r="O440" s="8" t="b">
        <f aca="false">TRUE()</f>
        <v>1</v>
      </c>
      <c r="P440" s="6" t="s">
        <v>2858</v>
      </c>
      <c r="Q440" s="6" t="s">
        <v>2827</v>
      </c>
      <c r="R440" s="6" t="s">
        <v>2827</v>
      </c>
      <c r="S440" s="9" t="b">
        <f aca="false">FALSE()</f>
        <v>0</v>
      </c>
      <c r="T440" s="6"/>
      <c r="U440" s="6"/>
      <c r="V440" s="6"/>
      <c r="W440" s="6"/>
    </row>
    <row r="441" customFormat="false" ht="15" hidden="false" customHeight="false" outlineLevel="0" collapsed="false">
      <c r="A441" s="6" t="s">
        <v>2859</v>
      </c>
      <c r="B441" s="6" t="s">
        <v>2860</v>
      </c>
      <c r="C441" s="6" t="s">
        <v>2861</v>
      </c>
      <c r="D441" s="6" t="s">
        <v>39</v>
      </c>
      <c r="E441" s="6" t="s">
        <v>40</v>
      </c>
      <c r="F441" s="6"/>
      <c r="G441" s="6"/>
      <c r="H441" s="6" t="s">
        <v>2855</v>
      </c>
      <c r="I441" s="7" t="n">
        <v>800</v>
      </c>
      <c r="J441" s="7" t="n">
        <v>5000</v>
      </c>
      <c r="K441" s="6" t="n">
        <v>0</v>
      </c>
      <c r="L441" s="6" t="n">
        <v>4</v>
      </c>
      <c r="M441" s="6" t="s">
        <v>2862</v>
      </c>
      <c r="N441" s="6" t="s">
        <v>2863</v>
      </c>
      <c r="O441" s="8" t="b">
        <f aca="false">TRUE()</f>
        <v>1</v>
      </c>
      <c r="P441" s="6" t="s">
        <v>2864</v>
      </c>
      <c r="Q441" s="6" t="s">
        <v>2827</v>
      </c>
      <c r="R441" s="6" t="s">
        <v>2827</v>
      </c>
      <c r="S441" s="9" t="b">
        <f aca="false">FALSE()</f>
        <v>0</v>
      </c>
      <c r="T441" s="6"/>
      <c r="U441" s="6"/>
      <c r="V441" s="6"/>
      <c r="W441" s="6"/>
    </row>
    <row r="442" customFormat="false" ht="15" hidden="false" customHeight="false" outlineLevel="0" collapsed="false">
      <c r="A442" s="6" t="s">
        <v>2865</v>
      </c>
      <c r="B442" s="6" t="s">
        <v>2866</v>
      </c>
      <c r="C442" s="6" t="s">
        <v>2867</v>
      </c>
      <c r="D442" s="6" t="s">
        <v>39</v>
      </c>
      <c r="E442" s="6" t="s">
        <v>40</v>
      </c>
      <c r="F442" s="6"/>
      <c r="G442" s="6"/>
      <c r="H442" s="6" t="s">
        <v>2868</v>
      </c>
      <c r="I442" s="7" t="n">
        <v>10000</v>
      </c>
      <c r="J442" s="7" t="n">
        <v>14000</v>
      </c>
      <c r="K442" s="6" t="n">
        <v>0</v>
      </c>
      <c r="L442" s="6" t="n">
        <v>2</v>
      </c>
      <c r="M442" s="6" t="s">
        <v>2869</v>
      </c>
      <c r="N442" s="6" t="s">
        <v>2870</v>
      </c>
      <c r="O442" s="8" t="b">
        <f aca="false">TRUE()</f>
        <v>1</v>
      </c>
      <c r="P442" s="6" t="s">
        <v>2871</v>
      </c>
      <c r="Q442" s="6" t="s">
        <v>2872</v>
      </c>
      <c r="R442" s="6" t="s">
        <v>2872</v>
      </c>
      <c r="S442" s="10" t="b">
        <f aca="false">TRUE()</f>
        <v>1</v>
      </c>
      <c r="T442" s="6" t="s">
        <v>2873</v>
      </c>
      <c r="U442" s="6" t="s">
        <v>2874</v>
      </c>
      <c r="V442" s="6"/>
      <c r="W442" s="6" t="s">
        <v>92</v>
      </c>
    </row>
    <row r="443" customFormat="false" ht="15" hidden="false" customHeight="false" outlineLevel="0" collapsed="false">
      <c r="A443" s="6" t="s">
        <v>2875</v>
      </c>
      <c r="B443" s="6" t="s">
        <v>2876</v>
      </c>
      <c r="C443" s="6" t="s">
        <v>2877</v>
      </c>
      <c r="D443" s="6" t="s">
        <v>39</v>
      </c>
      <c r="E443" s="6" t="s">
        <v>40</v>
      </c>
      <c r="F443" s="6"/>
      <c r="G443" s="6"/>
      <c r="H443" s="6" t="s">
        <v>2878</v>
      </c>
      <c r="I443" s="7" t="n">
        <v>11000</v>
      </c>
      <c r="J443" s="7" t="n">
        <v>16000</v>
      </c>
      <c r="K443" s="6" t="n">
        <v>0</v>
      </c>
      <c r="L443" s="6" t="n">
        <v>2</v>
      </c>
      <c r="M443" s="6" t="s">
        <v>2879</v>
      </c>
      <c r="N443" s="6" t="s">
        <v>2880</v>
      </c>
      <c r="O443" s="8" t="b">
        <f aca="false">TRUE()</f>
        <v>1</v>
      </c>
      <c r="P443" s="6" t="s">
        <v>2881</v>
      </c>
      <c r="Q443" s="6" t="s">
        <v>2872</v>
      </c>
      <c r="R443" s="6" t="s">
        <v>2872</v>
      </c>
      <c r="S443" s="10" t="b">
        <f aca="false">TRUE()</f>
        <v>1</v>
      </c>
      <c r="T443" s="6" t="s">
        <v>2882</v>
      </c>
      <c r="U443" s="6" t="s">
        <v>2874</v>
      </c>
      <c r="V443" s="6"/>
      <c r="W443" s="6" t="s">
        <v>92</v>
      </c>
    </row>
    <row r="444" customFormat="false" ht="15" hidden="false" customHeight="false" outlineLevel="0" collapsed="false">
      <c r="A444" s="6" t="s">
        <v>2883</v>
      </c>
      <c r="B444" s="6" t="s">
        <v>2884</v>
      </c>
      <c r="C444" s="6" t="s">
        <v>2885</v>
      </c>
      <c r="D444" s="6" t="s">
        <v>39</v>
      </c>
      <c r="E444" s="6" t="s">
        <v>40</v>
      </c>
      <c r="F444" s="6"/>
      <c r="G444" s="6"/>
      <c r="H444" s="6" t="s">
        <v>2886</v>
      </c>
      <c r="I444" s="7" t="n">
        <v>3500</v>
      </c>
      <c r="J444" s="7" t="n">
        <v>5600</v>
      </c>
      <c r="K444" s="6" t="n">
        <v>0</v>
      </c>
      <c r="L444" s="6" t="n">
        <v>4</v>
      </c>
      <c r="M444" s="6" t="s">
        <v>1409</v>
      </c>
      <c r="N444" s="6" t="s">
        <v>2887</v>
      </c>
      <c r="O444" s="8" t="b">
        <f aca="false">TRUE()</f>
        <v>1</v>
      </c>
      <c r="P444" s="6" t="s">
        <v>2888</v>
      </c>
      <c r="Q444" s="6" t="s">
        <v>2889</v>
      </c>
      <c r="R444" s="6" t="s">
        <v>2889</v>
      </c>
      <c r="S444" s="9" t="b">
        <f aca="false">FALSE()</f>
        <v>0</v>
      </c>
      <c r="T444" s="6"/>
      <c r="U444" s="6"/>
      <c r="V444" s="6"/>
      <c r="W444" s="6"/>
    </row>
    <row r="445" customFormat="false" ht="15" hidden="false" customHeight="false" outlineLevel="0" collapsed="false">
      <c r="A445" s="6" t="s">
        <v>2890</v>
      </c>
      <c r="B445" s="6" t="s">
        <v>2891</v>
      </c>
      <c r="C445" s="6" t="s">
        <v>2892</v>
      </c>
      <c r="D445" s="6" t="s">
        <v>39</v>
      </c>
      <c r="E445" s="6" t="s">
        <v>40</v>
      </c>
      <c r="F445" s="6"/>
      <c r="G445" s="6"/>
      <c r="H445" s="6" t="s">
        <v>2886</v>
      </c>
      <c r="I445" s="7" t="n">
        <v>3500</v>
      </c>
      <c r="J445" s="7" t="n">
        <v>5600</v>
      </c>
      <c r="K445" s="6" t="n">
        <v>0</v>
      </c>
      <c r="L445" s="6" t="n">
        <v>4</v>
      </c>
      <c r="M445" s="6" t="s">
        <v>1409</v>
      </c>
      <c r="N445" s="6" t="s">
        <v>2893</v>
      </c>
      <c r="O445" s="8" t="b">
        <f aca="false">TRUE()</f>
        <v>1</v>
      </c>
      <c r="P445" s="6" t="s">
        <v>2894</v>
      </c>
      <c r="Q445" s="6" t="s">
        <v>2889</v>
      </c>
      <c r="R445" s="6" t="s">
        <v>2889</v>
      </c>
      <c r="S445" s="9" t="b">
        <f aca="false">FALSE()</f>
        <v>0</v>
      </c>
      <c r="T445" s="6"/>
      <c r="U445" s="6"/>
      <c r="V445" s="6"/>
      <c r="W445" s="6"/>
    </row>
    <row r="446" customFormat="false" ht="15" hidden="false" customHeight="false" outlineLevel="0" collapsed="false">
      <c r="A446" s="6" t="s">
        <v>2895</v>
      </c>
      <c r="B446" s="6" t="s">
        <v>2896</v>
      </c>
      <c r="C446" s="6" t="s">
        <v>2897</v>
      </c>
      <c r="D446" s="6" t="s">
        <v>39</v>
      </c>
      <c r="E446" s="6" t="s">
        <v>40</v>
      </c>
      <c r="F446" s="6"/>
      <c r="G446" s="6"/>
      <c r="H446" s="6" t="s">
        <v>2886</v>
      </c>
      <c r="I446" s="7" t="n">
        <v>3500</v>
      </c>
      <c r="J446" s="7" t="n">
        <v>5600</v>
      </c>
      <c r="K446" s="6" t="n">
        <v>0</v>
      </c>
      <c r="L446" s="6" t="n">
        <v>4</v>
      </c>
      <c r="M446" s="6" t="s">
        <v>1409</v>
      </c>
      <c r="N446" s="6" t="s">
        <v>2898</v>
      </c>
      <c r="O446" s="8" t="b">
        <f aca="false">TRUE()</f>
        <v>1</v>
      </c>
      <c r="P446" s="6" t="s">
        <v>2899</v>
      </c>
      <c r="Q446" s="6" t="s">
        <v>2889</v>
      </c>
      <c r="R446" s="6" t="s">
        <v>2889</v>
      </c>
      <c r="S446" s="9" t="b">
        <f aca="false">FALSE()</f>
        <v>0</v>
      </c>
      <c r="T446" s="6"/>
      <c r="U446" s="6"/>
      <c r="V446" s="6"/>
      <c r="W446" s="6"/>
    </row>
    <row r="447" customFormat="false" ht="15" hidden="false" customHeight="false" outlineLevel="0" collapsed="false">
      <c r="A447" s="6" t="s">
        <v>2900</v>
      </c>
      <c r="B447" s="6" t="s">
        <v>2901</v>
      </c>
      <c r="C447" s="6" t="s">
        <v>2902</v>
      </c>
      <c r="D447" s="6" t="s">
        <v>39</v>
      </c>
      <c r="E447" s="6" t="s">
        <v>40</v>
      </c>
      <c r="F447" s="6"/>
      <c r="G447" s="6"/>
      <c r="H447" s="6" t="s">
        <v>2886</v>
      </c>
      <c r="I447" s="7" t="n">
        <v>3500</v>
      </c>
      <c r="J447" s="7" t="n">
        <v>5600</v>
      </c>
      <c r="K447" s="6" t="n">
        <v>0</v>
      </c>
      <c r="L447" s="6" t="n">
        <v>4</v>
      </c>
      <c r="M447" s="6" t="s">
        <v>1409</v>
      </c>
      <c r="N447" s="6" t="s">
        <v>2903</v>
      </c>
      <c r="O447" s="8" t="b">
        <f aca="false">TRUE()</f>
        <v>1</v>
      </c>
      <c r="P447" s="6" t="s">
        <v>2904</v>
      </c>
      <c r="Q447" s="6" t="s">
        <v>2889</v>
      </c>
      <c r="R447" s="6" t="s">
        <v>2889</v>
      </c>
      <c r="S447" s="9" t="b">
        <f aca="false">FALSE()</f>
        <v>0</v>
      </c>
      <c r="T447" s="6"/>
      <c r="U447" s="6"/>
      <c r="V447" s="6"/>
      <c r="W447" s="6"/>
    </row>
    <row r="448" customFormat="false" ht="15" hidden="false" customHeight="false" outlineLevel="0" collapsed="false">
      <c r="A448" s="6" t="s">
        <v>2905</v>
      </c>
      <c r="B448" s="6" t="s">
        <v>2906</v>
      </c>
      <c r="C448" s="6" t="s">
        <v>2907</v>
      </c>
      <c r="D448" s="6" t="s">
        <v>39</v>
      </c>
      <c r="E448" s="6" t="s">
        <v>40</v>
      </c>
      <c r="F448" s="6"/>
      <c r="G448" s="6"/>
      <c r="H448" s="6" t="s">
        <v>2886</v>
      </c>
      <c r="I448" s="7" t="n">
        <v>3500</v>
      </c>
      <c r="J448" s="7" t="n">
        <v>5600</v>
      </c>
      <c r="K448" s="6" t="n">
        <v>0</v>
      </c>
      <c r="L448" s="6" t="n">
        <v>4</v>
      </c>
      <c r="M448" s="6" t="s">
        <v>1409</v>
      </c>
      <c r="N448" s="6" t="s">
        <v>2908</v>
      </c>
      <c r="O448" s="8" t="b">
        <f aca="false">TRUE()</f>
        <v>1</v>
      </c>
      <c r="P448" s="6" t="s">
        <v>2909</v>
      </c>
      <c r="Q448" s="6" t="s">
        <v>2889</v>
      </c>
      <c r="R448" s="6" t="s">
        <v>2889</v>
      </c>
      <c r="S448" s="9" t="b">
        <f aca="false">FALSE()</f>
        <v>0</v>
      </c>
      <c r="T448" s="6"/>
      <c r="U448" s="6"/>
      <c r="V448" s="6"/>
      <c r="W448" s="6"/>
    </row>
    <row r="449" customFormat="false" ht="15" hidden="false" customHeight="false" outlineLevel="0" collapsed="false">
      <c r="A449" s="6" t="s">
        <v>2910</v>
      </c>
      <c r="B449" s="6" t="s">
        <v>2911</v>
      </c>
      <c r="C449" s="6" t="s">
        <v>2912</v>
      </c>
      <c r="D449" s="6" t="s">
        <v>39</v>
      </c>
      <c r="E449" s="6" t="s">
        <v>40</v>
      </c>
      <c r="F449" s="6"/>
      <c r="G449" s="6"/>
      <c r="H449" s="6" t="s">
        <v>2886</v>
      </c>
      <c r="I449" s="7" t="n">
        <v>3500</v>
      </c>
      <c r="J449" s="7" t="n">
        <v>5600</v>
      </c>
      <c r="K449" s="6" t="n">
        <v>0</v>
      </c>
      <c r="L449" s="6" t="n">
        <v>4</v>
      </c>
      <c r="M449" s="6" t="s">
        <v>1409</v>
      </c>
      <c r="N449" s="6" t="s">
        <v>2913</v>
      </c>
      <c r="O449" s="8" t="b">
        <f aca="false">TRUE()</f>
        <v>1</v>
      </c>
      <c r="P449" s="6" t="s">
        <v>2914</v>
      </c>
      <c r="Q449" s="6" t="s">
        <v>2889</v>
      </c>
      <c r="R449" s="6" t="s">
        <v>2889</v>
      </c>
      <c r="S449" s="9" t="b">
        <f aca="false">FALSE()</f>
        <v>0</v>
      </c>
      <c r="T449" s="6"/>
      <c r="U449" s="6"/>
      <c r="V449" s="6"/>
      <c r="W449" s="6"/>
    </row>
    <row r="450" customFormat="false" ht="15" hidden="false" customHeight="false" outlineLevel="0" collapsed="false">
      <c r="A450" s="6" t="s">
        <v>2915</v>
      </c>
      <c r="B450" s="6" t="s">
        <v>2916</v>
      </c>
      <c r="C450" s="6" t="s">
        <v>2917</v>
      </c>
      <c r="D450" s="6" t="s">
        <v>39</v>
      </c>
      <c r="E450" s="6" t="s">
        <v>40</v>
      </c>
      <c r="F450" s="6"/>
      <c r="G450" s="6"/>
      <c r="H450" s="6" t="s">
        <v>2886</v>
      </c>
      <c r="I450" s="7" t="n">
        <v>3500</v>
      </c>
      <c r="J450" s="7" t="n">
        <v>5600</v>
      </c>
      <c r="K450" s="6" t="n">
        <v>0</v>
      </c>
      <c r="L450" s="6" t="n">
        <v>4</v>
      </c>
      <c r="M450" s="6" t="s">
        <v>1409</v>
      </c>
      <c r="N450" s="6" t="s">
        <v>2918</v>
      </c>
      <c r="O450" s="8" t="b">
        <f aca="false">TRUE()</f>
        <v>1</v>
      </c>
      <c r="P450" s="6" t="s">
        <v>2919</v>
      </c>
      <c r="Q450" s="6" t="s">
        <v>2889</v>
      </c>
      <c r="R450" s="6" t="s">
        <v>2889</v>
      </c>
      <c r="S450" s="9" t="b">
        <f aca="false">FALSE()</f>
        <v>0</v>
      </c>
      <c r="T450" s="6"/>
      <c r="U450" s="6"/>
      <c r="V450" s="6"/>
      <c r="W450" s="6"/>
    </row>
    <row r="451" customFormat="false" ht="15" hidden="false" customHeight="false" outlineLevel="0" collapsed="false">
      <c r="A451" s="6" t="s">
        <v>2920</v>
      </c>
      <c r="B451" s="6" t="s">
        <v>2921</v>
      </c>
      <c r="C451" s="6" t="s">
        <v>2922</v>
      </c>
      <c r="D451" s="6" t="s">
        <v>39</v>
      </c>
      <c r="E451" s="6" t="s">
        <v>40</v>
      </c>
      <c r="F451" s="6"/>
      <c r="G451" s="6"/>
      <c r="H451" s="6" t="s">
        <v>2886</v>
      </c>
      <c r="I451" s="7" t="n">
        <v>3500</v>
      </c>
      <c r="J451" s="7" t="n">
        <v>5600</v>
      </c>
      <c r="K451" s="6" t="n">
        <v>0</v>
      </c>
      <c r="L451" s="6" t="n">
        <v>4</v>
      </c>
      <c r="M451" s="6" t="s">
        <v>1409</v>
      </c>
      <c r="N451" s="6" t="s">
        <v>2923</v>
      </c>
      <c r="O451" s="8" t="b">
        <f aca="false">TRUE()</f>
        <v>1</v>
      </c>
      <c r="P451" s="6" t="s">
        <v>2924</v>
      </c>
      <c r="Q451" s="6" t="s">
        <v>2889</v>
      </c>
      <c r="R451" s="6" t="s">
        <v>2889</v>
      </c>
      <c r="S451" s="9" t="b">
        <f aca="false">FALSE()</f>
        <v>0</v>
      </c>
      <c r="T451" s="6"/>
      <c r="U451" s="6"/>
      <c r="V451" s="6"/>
      <c r="W451" s="6"/>
    </row>
    <row r="452" customFormat="false" ht="15" hidden="false" customHeight="false" outlineLevel="0" collapsed="false">
      <c r="A452" s="6" t="s">
        <v>2925</v>
      </c>
      <c r="B452" s="6" t="s">
        <v>2926</v>
      </c>
      <c r="C452" s="6" t="s">
        <v>2927</v>
      </c>
      <c r="D452" s="6" t="s">
        <v>39</v>
      </c>
      <c r="E452" s="6" t="s">
        <v>40</v>
      </c>
      <c r="F452" s="6"/>
      <c r="G452" s="6"/>
      <c r="H452" s="6" t="s">
        <v>2886</v>
      </c>
      <c r="I452" s="7" t="n">
        <v>3500</v>
      </c>
      <c r="J452" s="7" t="n">
        <v>5600</v>
      </c>
      <c r="K452" s="6" t="n">
        <v>0</v>
      </c>
      <c r="L452" s="6" t="n">
        <v>4</v>
      </c>
      <c r="M452" s="6" t="s">
        <v>1409</v>
      </c>
      <c r="N452" s="6" t="s">
        <v>2928</v>
      </c>
      <c r="O452" s="8" t="b">
        <f aca="false">TRUE()</f>
        <v>1</v>
      </c>
      <c r="P452" s="6" t="s">
        <v>2929</v>
      </c>
      <c r="Q452" s="6" t="s">
        <v>2889</v>
      </c>
      <c r="R452" s="6" t="s">
        <v>2889</v>
      </c>
      <c r="S452" s="9" t="b">
        <f aca="false">FALSE()</f>
        <v>0</v>
      </c>
      <c r="T452" s="6"/>
      <c r="U452" s="6"/>
      <c r="V452" s="6"/>
      <c r="W452" s="6"/>
    </row>
    <row r="453" customFormat="false" ht="15" hidden="false" customHeight="false" outlineLevel="0" collapsed="false">
      <c r="A453" s="6" t="s">
        <v>2930</v>
      </c>
      <c r="B453" s="6" t="s">
        <v>2931</v>
      </c>
      <c r="C453" s="6" t="s">
        <v>2932</v>
      </c>
      <c r="D453" s="6" t="s">
        <v>39</v>
      </c>
      <c r="E453" s="6" t="s">
        <v>40</v>
      </c>
      <c r="F453" s="6"/>
      <c r="G453" s="6"/>
      <c r="H453" s="6" t="s">
        <v>2886</v>
      </c>
      <c r="I453" s="7" t="n">
        <v>3500</v>
      </c>
      <c r="J453" s="7" t="n">
        <v>5600</v>
      </c>
      <c r="K453" s="6" t="n">
        <v>0</v>
      </c>
      <c r="L453" s="6" t="n">
        <v>4</v>
      </c>
      <c r="M453" s="6" t="s">
        <v>1409</v>
      </c>
      <c r="N453" s="6" t="s">
        <v>2933</v>
      </c>
      <c r="O453" s="8" t="b">
        <f aca="false">TRUE()</f>
        <v>1</v>
      </c>
      <c r="P453" s="6" t="s">
        <v>2934</v>
      </c>
      <c r="Q453" s="6" t="s">
        <v>2889</v>
      </c>
      <c r="R453" s="6" t="s">
        <v>2889</v>
      </c>
      <c r="S453" s="9" t="b">
        <f aca="false">FALSE()</f>
        <v>0</v>
      </c>
      <c r="T453" s="6"/>
      <c r="U453" s="6"/>
      <c r="V453" s="6"/>
      <c r="W453" s="6"/>
    </row>
    <row r="454" customFormat="false" ht="15" hidden="false" customHeight="false" outlineLevel="0" collapsed="false">
      <c r="A454" s="6" t="s">
        <v>2935</v>
      </c>
      <c r="B454" s="6" t="s">
        <v>2936</v>
      </c>
      <c r="C454" s="6" t="s">
        <v>2937</v>
      </c>
      <c r="D454" s="6" t="s">
        <v>39</v>
      </c>
      <c r="E454" s="6" t="s">
        <v>40</v>
      </c>
      <c r="F454" s="6"/>
      <c r="G454" s="6"/>
      <c r="H454" s="6" t="s">
        <v>2886</v>
      </c>
      <c r="I454" s="7" t="n">
        <v>3500</v>
      </c>
      <c r="J454" s="7" t="n">
        <v>5600</v>
      </c>
      <c r="K454" s="6" t="n">
        <v>0</v>
      </c>
      <c r="L454" s="6" t="n">
        <v>4</v>
      </c>
      <c r="M454" s="6" t="s">
        <v>1409</v>
      </c>
      <c r="N454" s="6" t="s">
        <v>2938</v>
      </c>
      <c r="O454" s="8" t="b">
        <f aca="false">TRUE()</f>
        <v>1</v>
      </c>
      <c r="P454" s="6" t="s">
        <v>2939</v>
      </c>
      <c r="Q454" s="6" t="s">
        <v>2889</v>
      </c>
      <c r="R454" s="6" t="s">
        <v>2889</v>
      </c>
      <c r="S454" s="9" t="b">
        <f aca="false">FALSE()</f>
        <v>0</v>
      </c>
      <c r="T454" s="6"/>
      <c r="U454" s="6"/>
      <c r="V454" s="6"/>
      <c r="W454" s="6"/>
    </row>
    <row r="455" customFormat="false" ht="15" hidden="false" customHeight="false" outlineLevel="0" collapsed="false">
      <c r="A455" s="6" t="s">
        <v>2940</v>
      </c>
      <c r="B455" s="6" t="s">
        <v>2941</v>
      </c>
      <c r="C455" s="6" t="s">
        <v>2942</v>
      </c>
      <c r="D455" s="6" t="s">
        <v>39</v>
      </c>
      <c r="E455" s="6" t="s">
        <v>40</v>
      </c>
      <c r="F455" s="6"/>
      <c r="G455" s="6"/>
      <c r="H455" s="6" t="s">
        <v>2886</v>
      </c>
      <c r="I455" s="7" t="n">
        <v>3500</v>
      </c>
      <c r="J455" s="7" t="n">
        <v>5600</v>
      </c>
      <c r="K455" s="6" t="n">
        <v>0</v>
      </c>
      <c r="L455" s="6" t="n">
        <v>4</v>
      </c>
      <c r="M455" s="6" t="s">
        <v>1409</v>
      </c>
      <c r="N455" s="6" t="s">
        <v>2943</v>
      </c>
      <c r="O455" s="8" t="b">
        <f aca="false">TRUE()</f>
        <v>1</v>
      </c>
      <c r="P455" s="6" t="s">
        <v>2944</v>
      </c>
      <c r="Q455" s="6" t="s">
        <v>2889</v>
      </c>
      <c r="R455" s="6" t="s">
        <v>2889</v>
      </c>
      <c r="S455" s="9" t="b">
        <f aca="false">FALSE()</f>
        <v>0</v>
      </c>
      <c r="T455" s="6"/>
      <c r="U455" s="6"/>
      <c r="V455" s="6"/>
      <c r="W455" s="6"/>
    </row>
    <row r="456" customFormat="false" ht="15" hidden="false" customHeight="false" outlineLevel="0" collapsed="false">
      <c r="A456" s="6" t="s">
        <v>2945</v>
      </c>
      <c r="B456" s="6" t="s">
        <v>2946</v>
      </c>
      <c r="C456" s="6" t="s">
        <v>2947</v>
      </c>
      <c r="D456" s="6" t="s">
        <v>39</v>
      </c>
      <c r="E456" s="6" t="s">
        <v>40</v>
      </c>
      <c r="F456" s="6"/>
      <c r="G456" s="6"/>
      <c r="H456" s="6" t="s">
        <v>2886</v>
      </c>
      <c r="I456" s="7" t="n">
        <v>3500</v>
      </c>
      <c r="J456" s="7" t="n">
        <v>5600</v>
      </c>
      <c r="K456" s="6" t="n">
        <v>0</v>
      </c>
      <c r="L456" s="6" t="n">
        <v>4</v>
      </c>
      <c r="M456" s="6" t="s">
        <v>1409</v>
      </c>
      <c r="N456" s="6" t="s">
        <v>2948</v>
      </c>
      <c r="O456" s="8" t="b">
        <f aca="false">TRUE()</f>
        <v>1</v>
      </c>
      <c r="P456" s="6" t="s">
        <v>2949</v>
      </c>
      <c r="Q456" s="6" t="s">
        <v>2889</v>
      </c>
      <c r="R456" s="6" t="s">
        <v>2889</v>
      </c>
      <c r="S456" s="9" t="b">
        <f aca="false">FALSE()</f>
        <v>0</v>
      </c>
      <c r="T456" s="6"/>
      <c r="U456" s="6"/>
      <c r="V456" s="6"/>
      <c r="W456" s="6"/>
    </row>
    <row r="457" customFormat="false" ht="15" hidden="false" customHeight="false" outlineLevel="0" collapsed="false">
      <c r="A457" s="6" t="s">
        <v>2950</v>
      </c>
      <c r="B457" s="6" t="s">
        <v>2951</v>
      </c>
      <c r="C457" s="6" t="s">
        <v>2952</v>
      </c>
      <c r="D457" s="6" t="s">
        <v>39</v>
      </c>
      <c r="E457" s="6" t="s">
        <v>40</v>
      </c>
      <c r="F457" s="6"/>
      <c r="G457" s="6"/>
      <c r="H457" s="6" t="s">
        <v>2886</v>
      </c>
      <c r="I457" s="7" t="n">
        <v>3500</v>
      </c>
      <c r="J457" s="7" t="n">
        <v>5600</v>
      </c>
      <c r="K457" s="6" t="n">
        <v>0</v>
      </c>
      <c r="L457" s="6" t="n">
        <v>4</v>
      </c>
      <c r="M457" s="6" t="s">
        <v>1409</v>
      </c>
      <c r="N457" s="6" t="s">
        <v>2953</v>
      </c>
      <c r="O457" s="8" t="b">
        <f aca="false">TRUE()</f>
        <v>1</v>
      </c>
      <c r="P457" s="6" t="s">
        <v>2954</v>
      </c>
      <c r="Q457" s="6" t="s">
        <v>2889</v>
      </c>
      <c r="R457" s="6" t="s">
        <v>2889</v>
      </c>
      <c r="S457" s="9" t="b">
        <f aca="false">FALSE()</f>
        <v>0</v>
      </c>
      <c r="T457" s="6"/>
      <c r="U457" s="6"/>
      <c r="V457" s="6"/>
      <c r="W457" s="6"/>
    </row>
    <row r="458" customFormat="false" ht="15" hidden="false" customHeight="false" outlineLevel="0" collapsed="false">
      <c r="A458" s="6" t="s">
        <v>2955</v>
      </c>
      <c r="B458" s="6" t="s">
        <v>2956</v>
      </c>
      <c r="C458" s="6" t="s">
        <v>2957</v>
      </c>
      <c r="D458" s="6" t="s">
        <v>39</v>
      </c>
      <c r="E458" s="6" t="s">
        <v>40</v>
      </c>
      <c r="F458" s="6"/>
      <c r="G458" s="6"/>
      <c r="H458" s="6" t="s">
        <v>2886</v>
      </c>
      <c r="I458" s="7" t="n">
        <v>3500</v>
      </c>
      <c r="J458" s="7" t="n">
        <v>5600</v>
      </c>
      <c r="K458" s="6" t="n">
        <v>0</v>
      </c>
      <c r="L458" s="6" t="n">
        <v>4</v>
      </c>
      <c r="M458" s="6" t="s">
        <v>1409</v>
      </c>
      <c r="N458" s="6" t="s">
        <v>2958</v>
      </c>
      <c r="O458" s="8" t="b">
        <f aca="false">TRUE()</f>
        <v>1</v>
      </c>
      <c r="P458" s="6" t="s">
        <v>2959</v>
      </c>
      <c r="Q458" s="6" t="s">
        <v>2889</v>
      </c>
      <c r="R458" s="6" t="s">
        <v>2889</v>
      </c>
      <c r="S458" s="9" t="b">
        <f aca="false">FALSE()</f>
        <v>0</v>
      </c>
      <c r="T458" s="6"/>
      <c r="U458" s="6"/>
      <c r="V458" s="6"/>
      <c r="W458" s="6"/>
    </row>
    <row r="459" customFormat="false" ht="15" hidden="false" customHeight="false" outlineLevel="0" collapsed="false">
      <c r="A459" s="6" t="s">
        <v>2960</v>
      </c>
      <c r="B459" s="6" t="s">
        <v>2961</v>
      </c>
      <c r="C459" s="6" t="s">
        <v>2962</v>
      </c>
      <c r="D459" s="6" t="s">
        <v>39</v>
      </c>
      <c r="E459" s="6" t="s">
        <v>40</v>
      </c>
      <c r="F459" s="6"/>
      <c r="G459" s="6"/>
      <c r="H459" s="6" t="s">
        <v>2886</v>
      </c>
      <c r="I459" s="7" t="n">
        <v>3500</v>
      </c>
      <c r="J459" s="7" t="n">
        <v>5600</v>
      </c>
      <c r="K459" s="6" t="n">
        <v>0</v>
      </c>
      <c r="L459" s="6" t="n">
        <v>4</v>
      </c>
      <c r="M459" s="6" t="s">
        <v>1409</v>
      </c>
      <c r="N459" s="6" t="s">
        <v>2963</v>
      </c>
      <c r="O459" s="8" t="b">
        <f aca="false">TRUE()</f>
        <v>1</v>
      </c>
      <c r="P459" s="6" t="s">
        <v>2964</v>
      </c>
      <c r="Q459" s="6" t="s">
        <v>2889</v>
      </c>
      <c r="R459" s="6" t="s">
        <v>2889</v>
      </c>
      <c r="S459" s="9" t="b">
        <f aca="false">FALSE()</f>
        <v>0</v>
      </c>
      <c r="T459" s="6"/>
      <c r="U459" s="6"/>
      <c r="V459" s="6"/>
      <c r="W459" s="6"/>
    </row>
    <row r="460" customFormat="false" ht="15" hidden="false" customHeight="false" outlineLevel="0" collapsed="false">
      <c r="A460" s="6" t="s">
        <v>2965</v>
      </c>
      <c r="B460" s="6" t="s">
        <v>2966</v>
      </c>
      <c r="C460" s="6" t="s">
        <v>2967</v>
      </c>
      <c r="D460" s="6" t="s">
        <v>39</v>
      </c>
      <c r="E460" s="6" t="s">
        <v>40</v>
      </c>
      <c r="F460" s="6"/>
      <c r="G460" s="6"/>
      <c r="H460" s="6" t="s">
        <v>2886</v>
      </c>
      <c r="I460" s="7" t="n">
        <v>3500</v>
      </c>
      <c r="J460" s="7" t="n">
        <v>5600</v>
      </c>
      <c r="K460" s="6" t="n">
        <v>0</v>
      </c>
      <c r="L460" s="6" t="n">
        <v>4</v>
      </c>
      <c r="M460" s="6" t="s">
        <v>1409</v>
      </c>
      <c r="N460" s="6" t="s">
        <v>2968</v>
      </c>
      <c r="O460" s="8" t="b">
        <f aca="false">TRUE()</f>
        <v>1</v>
      </c>
      <c r="P460" s="6" t="s">
        <v>2969</v>
      </c>
      <c r="Q460" s="6" t="s">
        <v>2889</v>
      </c>
      <c r="R460" s="6" t="s">
        <v>2889</v>
      </c>
      <c r="S460" s="9" t="b">
        <f aca="false">FALSE()</f>
        <v>0</v>
      </c>
      <c r="T460" s="6"/>
      <c r="U460" s="6"/>
      <c r="V460" s="6"/>
      <c r="W460" s="6"/>
    </row>
    <row r="461" customFormat="false" ht="15" hidden="false" customHeight="false" outlineLevel="0" collapsed="false">
      <c r="A461" s="6" t="s">
        <v>2970</v>
      </c>
      <c r="B461" s="6" t="s">
        <v>2971</v>
      </c>
      <c r="C461" s="6" t="s">
        <v>2972</v>
      </c>
      <c r="D461" s="6" t="s">
        <v>39</v>
      </c>
      <c r="E461" s="6" t="s">
        <v>40</v>
      </c>
      <c r="F461" s="6"/>
      <c r="G461" s="6"/>
      <c r="H461" s="6" t="s">
        <v>2886</v>
      </c>
      <c r="I461" s="7" t="n">
        <v>3500</v>
      </c>
      <c r="J461" s="7" t="n">
        <v>5600</v>
      </c>
      <c r="K461" s="6" t="n">
        <v>0</v>
      </c>
      <c r="L461" s="6" t="n">
        <v>4</v>
      </c>
      <c r="M461" s="6" t="s">
        <v>1409</v>
      </c>
      <c r="N461" s="6" t="s">
        <v>2973</v>
      </c>
      <c r="O461" s="8" t="b">
        <f aca="false">TRUE()</f>
        <v>1</v>
      </c>
      <c r="P461" s="6" t="s">
        <v>2974</v>
      </c>
      <c r="Q461" s="6" t="s">
        <v>2889</v>
      </c>
      <c r="R461" s="6" t="s">
        <v>2889</v>
      </c>
      <c r="S461" s="9" t="b">
        <f aca="false">FALSE()</f>
        <v>0</v>
      </c>
      <c r="T461" s="6"/>
      <c r="U461" s="6"/>
      <c r="V461" s="6"/>
      <c r="W461" s="6"/>
    </row>
    <row r="462" customFormat="false" ht="15" hidden="false" customHeight="false" outlineLevel="0" collapsed="false">
      <c r="A462" s="6" t="s">
        <v>2975</v>
      </c>
      <c r="B462" s="6" t="s">
        <v>2976</v>
      </c>
      <c r="C462" s="6" t="s">
        <v>2977</v>
      </c>
      <c r="D462" s="6" t="s">
        <v>39</v>
      </c>
      <c r="E462" s="6" t="s">
        <v>40</v>
      </c>
      <c r="F462" s="6"/>
      <c r="G462" s="6"/>
      <c r="H462" s="6" t="s">
        <v>2886</v>
      </c>
      <c r="I462" s="7" t="n">
        <v>3500</v>
      </c>
      <c r="J462" s="7" t="n">
        <v>5600</v>
      </c>
      <c r="K462" s="6" t="n">
        <v>0</v>
      </c>
      <c r="L462" s="6" t="n">
        <v>4</v>
      </c>
      <c r="M462" s="6" t="s">
        <v>1409</v>
      </c>
      <c r="N462" s="6" t="s">
        <v>2978</v>
      </c>
      <c r="O462" s="8" t="b">
        <f aca="false">TRUE()</f>
        <v>1</v>
      </c>
      <c r="P462" s="6" t="s">
        <v>2979</v>
      </c>
      <c r="Q462" s="6" t="s">
        <v>2889</v>
      </c>
      <c r="R462" s="6" t="s">
        <v>2889</v>
      </c>
      <c r="S462" s="9" t="b">
        <f aca="false">FALSE()</f>
        <v>0</v>
      </c>
      <c r="T462" s="6"/>
      <c r="U462" s="6"/>
      <c r="V462" s="6"/>
      <c r="W462" s="6"/>
    </row>
    <row r="463" customFormat="false" ht="15" hidden="false" customHeight="false" outlineLevel="0" collapsed="false">
      <c r="A463" s="6" t="s">
        <v>2980</v>
      </c>
      <c r="B463" s="6" t="s">
        <v>2981</v>
      </c>
      <c r="C463" s="6" t="s">
        <v>2982</v>
      </c>
      <c r="D463" s="6" t="s">
        <v>39</v>
      </c>
      <c r="E463" s="6" t="s">
        <v>40</v>
      </c>
      <c r="F463" s="6"/>
      <c r="G463" s="6"/>
      <c r="H463" s="6" t="s">
        <v>2886</v>
      </c>
      <c r="I463" s="7" t="n">
        <v>3500</v>
      </c>
      <c r="J463" s="7" t="n">
        <v>5600</v>
      </c>
      <c r="K463" s="6" t="n">
        <v>0</v>
      </c>
      <c r="L463" s="6" t="n">
        <v>4</v>
      </c>
      <c r="M463" s="6" t="s">
        <v>1409</v>
      </c>
      <c r="N463" s="6" t="s">
        <v>2983</v>
      </c>
      <c r="O463" s="8" t="b">
        <f aca="false">TRUE()</f>
        <v>1</v>
      </c>
      <c r="P463" s="6" t="s">
        <v>2984</v>
      </c>
      <c r="Q463" s="6" t="s">
        <v>2889</v>
      </c>
      <c r="R463" s="6" t="s">
        <v>2889</v>
      </c>
      <c r="S463" s="9" t="b">
        <f aca="false">FALSE()</f>
        <v>0</v>
      </c>
      <c r="T463" s="6"/>
      <c r="U463" s="6"/>
      <c r="V463" s="6"/>
      <c r="W463" s="6"/>
    </row>
    <row r="464" customFormat="false" ht="15" hidden="false" customHeight="false" outlineLevel="0" collapsed="false">
      <c r="A464" s="6" t="s">
        <v>2985</v>
      </c>
      <c r="B464" s="6" t="s">
        <v>2986</v>
      </c>
      <c r="C464" s="6" t="s">
        <v>2987</v>
      </c>
      <c r="D464" s="6" t="s">
        <v>39</v>
      </c>
      <c r="E464" s="6" t="s">
        <v>40</v>
      </c>
      <c r="F464" s="6"/>
      <c r="G464" s="6"/>
      <c r="H464" s="6" t="s">
        <v>2878</v>
      </c>
      <c r="I464" s="7" t="n">
        <v>11000</v>
      </c>
      <c r="J464" s="7" t="n">
        <v>16000</v>
      </c>
      <c r="K464" s="6" t="n">
        <v>0</v>
      </c>
      <c r="L464" s="6" t="n">
        <v>2</v>
      </c>
      <c r="M464" s="6" t="s">
        <v>2879</v>
      </c>
      <c r="N464" s="6" t="s">
        <v>2988</v>
      </c>
      <c r="O464" s="8" t="b">
        <f aca="false">TRUE()</f>
        <v>1</v>
      </c>
      <c r="P464" s="6" t="s">
        <v>2989</v>
      </c>
      <c r="Q464" s="6" t="s">
        <v>2990</v>
      </c>
      <c r="R464" s="6" t="s">
        <v>2990</v>
      </c>
      <c r="S464" s="10" t="b">
        <f aca="false">TRUE()</f>
        <v>1</v>
      </c>
      <c r="T464" s="6" t="s">
        <v>2991</v>
      </c>
      <c r="U464" s="6" t="s">
        <v>2874</v>
      </c>
      <c r="V464" s="6"/>
      <c r="W464" s="6" t="s">
        <v>358</v>
      </c>
    </row>
    <row r="465" customFormat="false" ht="15" hidden="false" customHeight="false" outlineLevel="0" collapsed="false">
      <c r="A465" s="6" t="s">
        <v>2992</v>
      </c>
      <c r="B465" s="6" t="s">
        <v>2993</v>
      </c>
      <c r="C465" s="6" t="s">
        <v>2994</v>
      </c>
      <c r="D465" s="6" t="s">
        <v>39</v>
      </c>
      <c r="E465" s="6" t="s">
        <v>40</v>
      </c>
      <c r="F465" s="6"/>
      <c r="G465" s="6"/>
      <c r="H465" s="6" t="s">
        <v>2878</v>
      </c>
      <c r="I465" s="7" t="n">
        <v>11000</v>
      </c>
      <c r="J465" s="7" t="n">
        <v>16000</v>
      </c>
      <c r="K465" s="6" t="n">
        <v>0</v>
      </c>
      <c r="L465" s="6" t="n">
        <v>2</v>
      </c>
      <c r="M465" s="6" t="s">
        <v>2995</v>
      </c>
      <c r="N465" s="6" t="s">
        <v>2996</v>
      </c>
      <c r="O465" s="8" t="b">
        <f aca="false">TRUE()</f>
        <v>1</v>
      </c>
      <c r="P465" s="6" t="s">
        <v>2997</v>
      </c>
      <c r="Q465" s="6" t="s">
        <v>2990</v>
      </c>
      <c r="R465" s="6" t="s">
        <v>2990</v>
      </c>
      <c r="S465" s="9" t="b">
        <f aca="false">FALSE()</f>
        <v>0</v>
      </c>
      <c r="T465" s="6"/>
      <c r="U465" s="6"/>
      <c r="V465" s="6"/>
      <c r="W465" s="6"/>
    </row>
    <row r="466" customFormat="false" ht="15" hidden="false" customHeight="false" outlineLevel="0" collapsed="false">
      <c r="A466" s="6" t="s">
        <v>2998</v>
      </c>
      <c r="B466" s="6" t="s">
        <v>2999</v>
      </c>
      <c r="C466" s="6" t="s">
        <v>3000</v>
      </c>
      <c r="D466" s="6" t="s">
        <v>39</v>
      </c>
      <c r="E466" s="6" t="s">
        <v>40</v>
      </c>
      <c r="F466" s="6"/>
      <c r="G466" s="6"/>
      <c r="H466" s="6" t="s">
        <v>2878</v>
      </c>
      <c r="I466" s="7" t="n">
        <v>11000</v>
      </c>
      <c r="J466" s="7" t="n">
        <v>16000</v>
      </c>
      <c r="K466" s="6" t="n">
        <v>0</v>
      </c>
      <c r="L466" s="6" t="n">
        <v>2</v>
      </c>
      <c r="M466" s="6" t="s">
        <v>2995</v>
      </c>
      <c r="N466" s="6" t="s">
        <v>3001</v>
      </c>
      <c r="O466" s="8" t="b">
        <f aca="false">TRUE()</f>
        <v>1</v>
      </c>
      <c r="P466" s="6" t="s">
        <v>3002</v>
      </c>
      <c r="Q466" s="6" t="s">
        <v>2990</v>
      </c>
      <c r="R466" s="6" t="s">
        <v>2990</v>
      </c>
      <c r="S466" s="10" t="b">
        <f aca="false">TRUE()</f>
        <v>1</v>
      </c>
      <c r="T466" s="6" t="s">
        <v>3003</v>
      </c>
      <c r="U466" s="6" t="s">
        <v>2874</v>
      </c>
      <c r="V466" s="6"/>
      <c r="W466" s="6" t="s">
        <v>358</v>
      </c>
    </row>
    <row r="467" customFormat="false" ht="15" hidden="false" customHeight="false" outlineLevel="0" collapsed="false">
      <c r="A467" s="6" t="s">
        <v>3004</v>
      </c>
      <c r="B467" s="6" t="s">
        <v>3005</v>
      </c>
      <c r="C467" s="6" t="s">
        <v>3006</v>
      </c>
      <c r="D467" s="6" t="s">
        <v>39</v>
      </c>
      <c r="E467" s="6" t="s">
        <v>40</v>
      </c>
      <c r="F467" s="6"/>
      <c r="G467" s="6"/>
      <c r="H467" s="6" t="s">
        <v>3007</v>
      </c>
      <c r="I467" s="7" t="n">
        <v>3499</v>
      </c>
      <c r="J467" s="7" t="n">
        <v>3499</v>
      </c>
      <c r="K467" s="6" t="n">
        <v>20</v>
      </c>
      <c r="L467" s="6" t="n">
        <v>4</v>
      </c>
      <c r="M467" s="6" t="s">
        <v>3008</v>
      </c>
      <c r="N467" s="6" t="s">
        <v>3009</v>
      </c>
      <c r="O467" s="8" t="b">
        <f aca="false">TRUE()</f>
        <v>1</v>
      </c>
      <c r="P467" s="6" t="s">
        <v>3010</v>
      </c>
      <c r="Q467" s="6" t="s">
        <v>3011</v>
      </c>
      <c r="R467" s="6" t="s">
        <v>3011</v>
      </c>
      <c r="S467" s="9" t="b">
        <f aca="false">FALSE()</f>
        <v>0</v>
      </c>
      <c r="T467" s="6"/>
      <c r="U467" s="6"/>
      <c r="V467" s="6"/>
      <c r="W467" s="6"/>
    </row>
    <row r="468" customFormat="false" ht="15" hidden="false" customHeight="false" outlineLevel="0" collapsed="false">
      <c r="A468" s="6" t="s">
        <v>3012</v>
      </c>
      <c r="B468" s="6" t="s">
        <v>3013</v>
      </c>
      <c r="C468" s="6" t="s">
        <v>3014</v>
      </c>
      <c r="D468" s="6" t="s">
        <v>39</v>
      </c>
      <c r="E468" s="6" t="s">
        <v>40</v>
      </c>
      <c r="F468" s="6"/>
      <c r="G468" s="6"/>
      <c r="H468" s="6" t="s">
        <v>3007</v>
      </c>
      <c r="I468" s="7" t="n">
        <v>3499</v>
      </c>
      <c r="J468" s="7" t="n">
        <v>3499</v>
      </c>
      <c r="K468" s="6" t="n">
        <v>20</v>
      </c>
      <c r="L468" s="6" t="n">
        <v>4</v>
      </c>
      <c r="M468" s="6" t="s">
        <v>3008</v>
      </c>
      <c r="N468" s="6" t="s">
        <v>3015</v>
      </c>
      <c r="O468" s="8" t="b">
        <f aca="false">TRUE()</f>
        <v>1</v>
      </c>
      <c r="P468" s="6" t="s">
        <v>3016</v>
      </c>
      <c r="Q468" s="6" t="s">
        <v>3011</v>
      </c>
      <c r="R468" s="6" t="s">
        <v>3011</v>
      </c>
      <c r="S468" s="9" t="b">
        <f aca="false">FALSE()</f>
        <v>0</v>
      </c>
      <c r="T468" s="6"/>
      <c r="U468" s="6"/>
      <c r="V468" s="6"/>
      <c r="W468" s="6"/>
    </row>
    <row r="469" customFormat="false" ht="15" hidden="false" customHeight="false" outlineLevel="0" collapsed="false">
      <c r="A469" s="6" t="s">
        <v>3017</v>
      </c>
      <c r="B469" s="6" t="s">
        <v>3018</v>
      </c>
      <c r="C469" s="6" t="s">
        <v>3019</v>
      </c>
      <c r="D469" s="6" t="s">
        <v>39</v>
      </c>
      <c r="E469" s="6" t="s">
        <v>40</v>
      </c>
      <c r="F469" s="6"/>
      <c r="G469" s="6"/>
      <c r="H469" s="6" t="s">
        <v>3007</v>
      </c>
      <c r="I469" s="7" t="n">
        <v>3499</v>
      </c>
      <c r="J469" s="7" t="n">
        <v>3499</v>
      </c>
      <c r="K469" s="6" t="n">
        <v>20</v>
      </c>
      <c r="L469" s="6" t="n">
        <v>4</v>
      </c>
      <c r="M469" s="6" t="s">
        <v>3008</v>
      </c>
      <c r="N469" s="6" t="s">
        <v>3020</v>
      </c>
      <c r="O469" s="8" t="b">
        <f aca="false">TRUE()</f>
        <v>1</v>
      </c>
      <c r="P469" s="6" t="s">
        <v>3021</v>
      </c>
      <c r="Q469" s="6" t="s">
        <v>3011</v>
      </c>
      <c r="R469" s="6" t="s">
        <v>3011</v>
      </c>
      <c r="S469" s="9" t="b">
        <f aca="false">FALSE()</f>
        <v>0</v>
      </c>
      <c r="T469" s="6"/>
      <c r="U469" s="6"/>
      <c r="V469" s="6"/>
      <c r="W469" s="6"/>
    </row>
    <row r="470" customFormat="false" ht="15" hidden="false" customHeight="false" outlineLevel="0" collapsed="false">
      <c r="A470" s="6" t="s">
        <v>3022</v>
      </c>
      <c r="B470" s="6" t="s">
        <v>3023</v>
      </c>
      <c r="C470" s="6" t="s">
        <v>3024</v>
      </c>
      <c r="D470" s="6" t="s">
        <v>39</v>
      </c>
      <c r="E470" s="6" t="s">
        <v>40</v>
      </c>
      <c r="F470" s="6"/>
      <c r="G470" s="6"/>
      <c r="H470" s="6" t="s">
        <v>3007</v>
      </c>
      <c r="I470" s="7" t="n">
        <v>3499</v>
      </c>
      <c r="J470" s="7" t="n">
        <v>3499</v>
      </c>
      <c r="K470" s="6" t="n">
        <v>20</v>
      </c>
      <c r="L470" s="6" t="n">
        <v>4</v>
      </c>
      <c r="M470" s="6" t="s">
        <v>3008</v>
      </c>
      <c r="N470" s="6" t="s">
        <v>3025</v>
      </c>
      <c r="O470" s="8" t="b">
        <f aca="false">TRUE()</f>
        <v>1</v>
      </c>
      <c r="P470" s="6" t="s">
        <v>3026</v>
      </c>
      <c r="Q470" s="6" t="s">
        <v>3011</v>
      </c>
      <c r="R470" s="6" t="s">
        <v>3011</v>
      </c>
      <c r="S470" s="9" t="b">
        <f aca="false">FALSE()</f>
        <v>0</v>
      </c>
      <c r="T470" s="6"/>
      <c r="U470" s="6"/>
      <c r="V470" s="6"/>
      <c r="W470" s="6"/>
    </row>
    <row r="471" customFormat="false" ht="15" hidden="false" customHeight="false" outlineLevel="0" collapsed="false">
      <c r="A471" s="6" t="s">
        <v>3027</v>
      </c>
      <c r="B471" s="6" t="s">
        <v>3028</v>
      </c>
      <c r="C471" s="6" t="s">
        <v>3029</v>
      </c>
      <c r="D471" s="6" t="s">
        <v>39</v>
      </c>
      <c r="E471" s="6" t="s">
        <v>40</v>
      </c>
      <c r="F471" s="6"/>
      <c r="G471" s="6"/>
      <c r="H471" s="6" t="s">
        <v>3007</v>
      </c>
      <c r="I471" s="7" t="n">
        <v>3499</v>
      </c>
      <c r="J471" s="7" t="n">
        <v>3499</v>
      </c>
      <c r="K471" s="6" t="n">
        <v>20</v>
      </c>
      <c r="L471" s="6" t="n">
        <v>4</v>
      </c>
      <c r="M471" s="6" t="s">
        <v>3008</v>
      </c>
      <c r="N471" s="6" t="s">
        <v>3030</v>
      </c>
      <c r="O471" s="8" t="b">
        <f aca="false">TRUE()</f>
        <v>1</v>
      </c>
      <c r="P471" s="6" t="s">
        <v>3031</v>
      </c>
      <c r="Q471" s="6" t="s">
        <v>3011</v>
      </c>
      <c r="R471" s="6" t="s">
        <v>3011</v>
      </c>
      <c r="S471" s="9" t="b">
        <f aca="false">FALSE()</f>
        <v>0</v>
      </c>
      <c r="T471" s="6"/>
      <c r="U471" s="6"/>
      <c r="V471" s="6"/>
      <c r="W471" s="6"/>
    </row>
    <row r="472" customFormat="false" ht="15" hidden="false" customHeight="false" outlineLevel="0" collapsed="false">
      <c r="A472" s="6" t="s">
        <v>3032</v>
      </c>
      <c r="B472" s="6" t="s">
        <v>3033</v>
      </c>
      <c r="C472" s="6" t="s">
        <v>3034</v>
      </c>
      <c r="D472" s="6" t="s">
        <v>39</v>
      </c>
      <c r="E472" s="6" t="s">
        <v>40</v>
      </c>
      <c r="F472" s="6"/>
      <c r="G472" s="6"/>
      <c r="H472" s="6" t="s">
        <v>3007</v>
      </c>
      <c r="I472" s="7" t="n">
        <v>3499</v>
      </c>
      <c r="J472" s="7" t="n">
        <v>3499</v>
      </c>
      <c r="K472" s="6" t="n">
        <v>20</v>
      </c>
      <c r="L472" s="6" t="n">
        <v>4</v>
      </c>
      <c r="M472" s="6" t="s">
        <v>3008</v>
      </c>
      <c r="N472" s="6" t="s">
        <v>3035</v>
      </c>
      <c r="O472" s="8" t="b">
        <f aca="false">TRUE()</f>
        <v>1</v>
      </c>
      <c r="P472" s="6" t="s">
        <v>3036</v>
      </c>
      <c r="Q472" s="6" t="s">
        <v>3011</v>
      </c>
      <c r="R472" s="6" t="s">
        <v>3011</v>
      </c>
      <c r="S472" s="9" t="b">
        <f aca="false">FALSE()</f>
        <v>0</v>
      </c>
      <c r="T472" s="6"/>
      <c r="U472" s="6"/>
      <c r="V472" s="6"/>
      <c r="W472" s="6"/>
    </row>
    <row r="473" customFormat="false" ht="15" hidden="false" customHeight="false" outlineLevel="0" collapsed="false">
      <c r="A473" s="6" t="s">
        <v>3037</v>
      </c>
      <c r="B473" s="6" t="s">
        <v>3038</v>
      </c>
      <c r="C473" s="6" t="s">
        <v>3039</v>
      </c>
      <c r="D473" s="6" t="s">
        <v>39</v>
      </c>
      <c r="E473" s="6" t="s">
        <v>40</v>
      </c>
      <c r="F473" s="6"/>
      <c r="G473" s="6"/>
      <c r="H473" s="6" t="s">
        <v>3007</v>
      </c>
      <c r="I473" s="7" t="n">
        <v>3499</v>
      </c>
      <c r="J473" s="7" t="n">
        <v>3499</v>
      </c>
      <c r="K473" s="6" t="n">
        <v>20</v>
      </c>
      <c r="L473" s="6" t="n">
        <v>4</v>
      </c>
      <c r="M473" s="6" t="s">
        <v>3008</v>
      </c>
      <c r="N473" s="6" t="s">
        <v>3040</v>
      </c>
      <c r="O473" s="8" t="b">
        <f aca="false">TRUE()</f>
        <v>1</v>
      </c>
      <c r="P473" s="6" t="s">
        <v>3041</v>
      </c>
      <c r="Q473" s="6" t="s">
        <v>3011</v>
      </c>
      <c r="R473" s="6" t="s">
        <v>3011</v>
      </c>
      <c r="S473" s="9" t="b">
        <f aca="false">FALSE()</f>
        <v>0</v>
      </c>
      <c r="T473" s="6"/>
      <c r="U473" s="6"/>
      <c r="V473" s="6"/>
      <c r="W473" s="6"/>
    </row>
    <row r="474" customFormat="false" ht="15" hidden="false" customHeight="false" outlineLevel="0" collapsed="false">
      <c r="A474" s="6" t="s">
        <v>3042</v>
      </c>
      <c r="B474" s="6" t="s">
        <v>3043</v>
      </c>
      <c r="C474" s="6" t="s">
        <v>3044</v>
      </c>
      <c r="D474" s="6" t="s">
        <v>39</v>
      </c>
      <c r="E474" s="6" t="s">
        <v>40</v>
      </c>
      <c r="F474" s="6"/>
      <c r="G474" s="6"/>
      <c r="H474" s="6" t="s">
        <v>3007</v>
      </c>
      <c r="I474" s="7" t="n">
        <v>3499</v>
      </c>
      <c r="J474" s="7" t="n">
        <v>3499</v>
      </c>
      <c r="K474" s="6" t="n">
        <v>20</v>
      </c>
      <c r="L474" s="6" t="n">
        <v>4</v>
      </c>
      <c r="M474" s="6" t="s">
        <v>3008</v>
      </c>
      <c r="N474" s="6" t="s">
        <v>3045</v>
      </c>
      <c r="O474" s="8" t="b">
        <f aca="false">TRUE()</f>
        <v>1</v>
      </c>
      <c r="P474" s="6" t="s">
        <v>3046</v>
      </c>
      <c r="Q474" s="6" t="s">
        <v>3011</v>
      </c>
      <c r="R474" s="6" t="s">
        <v>3011</v>
      </c>
      <c r="S474" s="9" t="b">
        <f aca="false">FALSE()</f>
        <v>0</v>
      </c>
      <c r="T474" s="6"/>
      <c r="U474" s="6"/>
      <c r="V474" s="6"/>
      <c r="W474" s="6"/>
    </row>
    <row r="475" customFormat="false" ht="15" hidden="false" customHeight="false" outlineLevel="0" collapsed="false">
      <c r="A475" s="6" t="s">
        <v>3047</v>
      </c>
      <c r="B475" s="6" t="s">
        <v>3048</v>
      </c>
      <c r="C475" s="6" t="s">
        <v>3049</v>
      </c>
      <c r="D475" s="6" t="s">
        <v>39</v>
      </c>
      <c r="E475" s="6" t="s">
        <v>40</v>
      </c>
      <c r="F475" s="6"/>
      <c r="G475" s="6"/>
      <c r="H475" s="6" t="s">
        <v>3007</v>
      </c>
      <c r="I475" s="7" t="n">
        <v>3499</v>
      </c>
      <c r="J475" s="7" t="n">
        <v>3499</v>
      </c>
      <c r="K475" s="6" t="n">
        <v>20</v>
      </c>
      <c r="L475" s="6" t="n">
        <v>4</v>
      </c>
      <c r="M475" s="6" t="s">
        <v>3008</v>
      </c>
      <c r="N475" s="6" t="s">
        <v>3050</v>
      </c>
      <c r="O475" s="8" t="b">
        <f aca="false">TRUE()</f>
        <v>1</v>
      </c>
      <c r="P475" s="6" t="s">
        <v>3051</v>
      </c>
      <c r="Q475" s="6" t="s">
        <v>3011</v>
      </c>
      <c r="R475" s="6" t="s">
        <v>3011</v>
      </c>
      <c r="S475" s="9" t="b">
        <f aca="false">FALSE()</f>
        <v>0</v>
      </c>
      <c r="T475" s="6"/>
      <c r="U475" s="6"/>
      <c r="V475" s="6"/>
      <c r="W475" s="6"/>
    </row>
    <row r="476" customFormat="false" ht="15" hidden="false" customHeight="false" outlineLevel="0" collapsed="false">
      <c r="A476" s="6" t="s">
        <v>3052</v>
      </c>
      <c r="B476" s="6" t="s">
        <v>3053</v>
      </c>
      <c r="C476" s="6" t="s">
        <v>3054</v>
      </c>
      <c r="D476" s="6" t="s">
        <v>39</v>
      </c>
      <c r="E476" s="6" t="s">
        <v>40</v>
      </c>
      <c r="F476" s="6"/>
      <c r="G476" s="6"/>
      <c r="H476" s="6" t="s">
        <v>3007</v>
      </c>
      <c r="I476" s="7" t="n">
        <v>3499</v>
      </c>
      <c r="J476" s="7" t="n">
        <v>3499</v>
      </c>
      <c r="K476" s="6" t="n">
        <v>20</v>
      </c>
      <c r="L476" s="6" t="n">
        <v>4</v>
      </c>
      <c r="M476" s="6" t="s">
        <v>3008</v>
      </c>
      <c r="N476" s="6" t="s">
        <v>3055</v>
      </c>
      <c r="O476" s="8" t="b">
        <f aca="false">TRUE()</f>
        <v>1</v>
      </c>
      <c r="P476" s="6" t="s">
        <v>3056</v>
      </c>
      <c r="Q476" s="6" t="s">
        <v>3011</v>
      </c>
      <c r="R476" s="6" t="s">
        <v>3011</v>
      </c>
      <c r="S476" s="9" t="b">
        <f aca="false">FALSE()</f>
        <v>0</v>
      </c>
      <c r="T476" s="6"/>
      <c r="U476" s="6"/>
      <c r="V476" s="6"/>
      <c r="W476" s="6"/>
    </row>
    <row r="477" customFormat="false" ht="15" hidden="false" customHeight="false" outlineLevel="0" collapsed="false">
      <c r="A477" s="6" t="s">
        <v>3057</v>
      </c>
      <c r="B477" s="6" t="s">
        <v>3058</v>
      </c>
      <c r="C477" s="6" t="s">
        <v>3059</v>
      </c>
      <c r="D477" s="6" t="s">
        <v>39</v>
      </c>
      <c r="E477" s="6" t="s">
        <v>40</v>
      </c>
      <c r="F477" s="6"/>
      <c r="G477" s="6"/>
      <c r="H477" s="6" t="s">
        <v>3007</v>
      </c>
      <c r="I477" s="7" t="n">
        <v>3499</v>
      </c>
      <c r="J477" s="7" t="n">
        <v>3499</v>
      </c>
      <c r="K477" s="6" t="n">
        <v>20</v>
      </c>
      <c r="L477" s="6" t="n">
        <v>4</v>
      </c>
      <c r="M477" s="6" t="s">
        <v>3008</v>
      </c>
      <c r="N477" s="6" t="s">
        <v>3060</v>
      </c>
      <c r="O477" s="8" t="b">
        <f aca="false">TRUE()</f>
        <v>1</v>
      </c>
      <c r="P477" s="6" t="s">
        <v>3061</v>
      </c>
      <c r="Q477" s="6" t="s">
        <v>3011</v>
      </c>
      <c r="R477" s="6" t="s">
        <v>3011</v>
      </c>
      <c r="S477" s="9" t="b">
        <f aca="false">FALSE()</f>
        <v>0</v>
      </c>
      <c r="T477" s="6"/>
      <c r="U477" s="6"/>
      <c r="V477" s="6"/>
      <c r="W477" s="6"/>
    </row>
    <row r="478" customFormat="false" ht="15" hidden="false" customHeight="false" outlineLevel="0" collapsed="false">
      <c r="A478" s="6" t="s">
        <v>3062</v>
      </c>
      <c r="B478" s="6" t="s">
        <v>3063</v>
      </c>
      <c r="C478" s="6" t="s">
        <v>3064</v>
      </c>
      <c r="D478" s="6" t="s">
        <v>39</v>
      </c>
      <c r="E478" s="6" t="s">
        <v>40</v>
      </c>
      <c r="F478" s="6"/>
      <c r="G478" s="6"/>
      <c r="H478" s="6" t="s">
        <v>3065</v>
      </c>
      <c r="I478" s="7" t="n">
        <v>3499</v>
      </c>
      <c r="J478" s="7" t="n">
        <v>3499</v>
      </c>
      <c r="K478" s="6" t="n">
        <v>20</v>
      </c>
      <c r="L478" s="6" t="n">
        <v>4</v>
      </c>
      <c r="M478" s="6" t="s">
        <v>3008</v>
      </c>
      <c r="N478" s="6" t="s">
        <v>3066</v>
      </c>
      <c r="O478" s="8" t="b">
        <f aca="false">TRUE()</f>
        <v>1</v>
      </c>
      <c r="P478" s="6" t="s">
        <v>3067</v>
      </c>
      <c r="Q478" s="6" t="s">
        <v>3011</v>
      </c>
      <c r="R478" s="6" t="s">
        <v>3011</v>
      </c>
      <c r="S478" s="9" t="b">
        <f aca="false">FALSE()</f>
        <v>0</v>
      </c>
      <c r="T478" s="6"/>
      <c r="U478" s="6"/>
      <c r="V478" s="6"/>
      <c r="W478" s="6"/>
    </row>
    <row r="479" customFormat="false" ht="15" hidden="false" customHeight="false" outlineLevel="0" collapsed="false">
      <c r="A479" s="6" t="s">
        <v>3068</v>
      </c>
      <c r="B479" s="6" t="s">
        <v>3069</v>
      </c>
      <c r="C479" s="6" t="s">
        <v>3070</v>
      </c>
      <c r="D479" s="6" t="s">
        <v>39</v>
      </c>
      <c r="E479" s="6" t="s">
        <v>40</v>
      </c>
      <c r="F479" s="6"/>
      <c r="G479" s="6"/>
      <c r="H479" s="6" t="s">
        <v>3065</v>
      </c>
      <c r="I479" s="7" t="n">
        <v>3499</v>
      </c>
      <c r="J479" s="7" t="n">
        <v>3499</v>
      </c>
      <c r="K479" s="6" t="n">
        <v>20</v>
      </c>
      <c r="L479" s="6" t="n">
        <v>4</v>
      </c>
      <c r="M479" s="6" t="s">
        <v>3008</v>
      </c>
      <c r="N479" s="6" t="s">
        <v>3071</v>
      </c>
      <c r="O479" s="8" t="b">
        <f aca="false">TRUE()</f>
        <v>1</v>
      </c>
      <c r="P479" s="6" t="s">
        <v>3072</v>
      </c>
      <c r="Q479" s="6" t="s">
        <v>3011</v>
      </c>
      <c r="R479" s="6" t="s">
        <v>3011</v>
      </c>
      <c r="S479" s="9" t="b">
        <f aca="false">FALSE()</f>
        <v>0</v>
      </c>
      <c r="T479" s="6"/>
      <c r="U479" s="6"/>
      <c r="V479" s="6"/>
      <c r="W479" s="6"/>
    </row>
    <row r="480" customFormat="false" ht="15" hidden="false" customHeight="false" outlineLevel="0" collapsed="false">
      <c r="A480" s="6" t="s">
        <v>3073</v>
      </c>
      <c r="B480" s="6" t="s">
        <v>3074</v>
      </c>
      <c r="C480" s="6" t="s">
        <v>3075</v>
      </c>
      <c r="D480" s="6" t="s">
        <v>39</v>
      </c>
      <c r="E480" s="6" t="s">
        <v>40</v>
      </c>
      <c r="F480" s="6"/>
      <c r="G480" s="6"/>
      <c r="H480" s="6" t="s">
        <v>3065</v>
      </c>
      <c r="I480" s="7" t="n">
        <v>3499</v>
      </c>
      <c r="J480" s="7" t="n">
        <v>3499</v>
      </c>
      <c r="K480" s="6" t="n">
        <v>20</v>
      </c>
      <c r="L480" s="6" t="n">
        <v>4</v>
      </c>
      <c r="M480" s="6" t="s">
        <v>3008</v>
      </c>
      <c r="N480" s="6" t="s">
        <v>3076</v>
      </c>
      <c r="O480" s="8" t="b">
        <f aca="false">TRUE()</f>
        <v>1</v>
      </c>
      <c r="P480" s="6" t="s">
        <v>3077</v>
      </c>
      <c r="Q480" s="6" t="s">
        <v>3011</v>
      </c>
      <c r="R480" s="6" t="s">
        <v>3011</v>
      </c>
      <c r="S480" s="9" t="b">
        <f aca="false">FALSE()</f>
        <v>0</v>
      </c>
      <c r="T480" s="6"/>
      <c r="U480" s="6"/>
      <c r="V480" s="6"/>
      <c r="W480" s="6"/>
    </row>
    <row r="481" customFormat="false" ht="15" hidden="false" customHeight="false" outlineLevel="0" collapsed="false">
      <c r="A481" s="6" t="s">
        <v>3078</v>
      </c>
      <c r="B481" s="6" t="s">
        <v>3079</v>
      </c>
      <c r="C481" s="6" t="s">
        <v>3080</v>
      </c>
      <c r="D481" s="6" t="s">
        <v>39</v>
      </c>
      <c r="E481" s="6" t="s">
        <v>40</v>
      </c>
      <c r="F481" s="6"/>
      <c r="G481" s="6"/>
      <c r="H481" s="6" t="s">
        <v>3065</v>
      </c>
      <c r="I481" s="7" t="n">
        <v>3499</v>
      </c>
      <c r="J481" s="7" t="n">
        <v>3499</v>
      </c>
      <c r="K481" s="6" t="n">
        <v>20</v>
      </c>
      <c r="L481" s="6" t="n">
        <v>4</v>
      </c>
      <c r="M481" s="6" t="s">
        <v>3008</v>
      </c>
      <c r="N481" s="6" t="s">
        <v>3081</v>
      </c>
      <c r="O481" s="8" t="b">
        <f aca="false">TRUE()</f>
        <v>1</v>
      </c>
      <c r="P481" s="6" t="s">
        <v>3082</v>
      </c>
      <c r="Q481" s="6" t="s">
        <v>3011</v>
      </c>
      <c r="R481" s="6" t="s">
        <v>3011</v>
      </c>
      <c r="S481" s="9" t="b">
        <f aca="false">FALSE()</f>
        <v>0</v>
      </c>
      <c r="T481" s="6"/>
      <c r="U481" s="6"/>
      <c r="V481" s="6"/>
      <c r="W481" s="6"/>
    </row>
    <row r="482" customFormat="false" ht="15" hidden="false" customHeight="false" outlineLevel="0" collapsed="false">
      <c r="A482" s="6" t="s">
        <v>3083</v>
      </c>
      <c r="B482" s="6" t="s">
        <v>3084</v>
      </c>
      <c r="C482" s="6" t="s">
        <v>3085</v>
      </c>
      <c r="D482" s="6" t="s">
        <v>39</v>
      </c>
      <c r="E482" s="6" t="s">
        <v>40</v>
      </c>
      <c r="F482" s="6"/>
      <c r="G482" s="6"/>
      <c r="H482" s="6" t="s">
        <v>3065</v>
      </c>
      <c r="I482" s="7" t="n">
        <v>3499</v>
      </c>
      <c r="J482" s="7" t="n">
        <v>3499</v>
      </c>
      <c r="K482" s="6" t="n">
        <v>20</v>
      </c>
      <c r="L482" s="6" t="n">
        <v>4</v>
      </c>
      <c r="M482" s="6" t="s">
        <v>3008</v>
      </c>
      <c r="N482" s="6" t="s">
        <v>3086</v>
      </c>
      <c r="O482" s="8" t="b">
        <f aca="false">TRUE()</f>
        <v>1</v>
      </c>
      <c r="P482" s="6" t="s">
        <v>3087</v>
      </c>
      <c r="Q482" s="6" t="s">
        <v>3011</v>
      </c>
      <c r="R482" s="6" t="s">
        <v>3011</v>
      </c>
      <c r="S482" s="9" t="b">
        <f aca="false">FALSE()</f>
        <v>0</v>
      </c>
      <c r="T482" s="6"/>
      <c r="U482" s="6"/>
      <c r="V482" s="6"/>
      <c r="W482" s="6"/>
    </row>
    <row r="483" customFormat="false" ht="15" hidden="false" customHeight="false" outlineLevel="0" collapsed="false">
      <c r="A483" s="6" t="s">
        <v>3088</v>
      </c>
      <c r="B483" s="6" t="s">
        <v>3089</v>
      </c>
      <c r="C483" s="6" t="s">
        <v>3090</v>
      </c>
      <c r="D483" s="6" t="s">
        <v>39</v>
      </c>
      <c r="E483" s="6" t="s">
        <v>40</v>
      </c>
      <c r="F483" s="6"/>
      <c r="G483" s="6"/>
      <c r="H483" s="6" t="s">
        <v>3065</v>
      </c>
      <c r="I483" s="7" t="n">
        <v>3499</v>
      </c>
      <c r="J483" s="7" t="n">
        <v>3499</v>
      </c>
      <c r="K483" s="6" t="n">
        <v>20</v>
      </c>
      <c r="L483" s="6" t="n">
        <v>4</v>
      </c>
      <c r="M483" s="6" t="s">
        <v>3008</v>
      </c>
      <c r="N483" s="6" t="s">
        <v>3091</v>
      </c>
      <c r="O483" s="8" t="b">
        <f aca="false">TRUE()</f>
        <v>1</v>
      </c>
      <c r="P483" s="6" t="s">
        <v>3092</v>
      </c>
      <c r="Q483" s="6" t="s">
        <v>3011</v>
      </c>
      <c r="R483" s="6" t="s">
        <v>3011</v>
      </c>
      <c r="S483" s="9" t="b">
        <f aca="false">FALSE()</f>
        <v>0</v>
      </c>
      <c r="T483" s="6"/>
      <c r="U483" s="6"/>
      <c r="V483" s="6"/>
      <c r="W483" s="6"/>
    </row>
    <row r="484" customFormat="false" ht="15" hidden="false" customHeight="false" outlineLevel="0" collapsed="false">
      <c r="A484" s="6" t="s">
        <v>3093</v>
      </c>
      <c r="B484" s="6" t="s">
        <v>3094</v>
      </c>
      <c r="C484" s="6" t="s">
        <v>3095</v>
      </c>
      <c r="D484" s="6" t="s">
        <v>39</v>
      </c>
      <c r="E484" s="6" t="s">
        <v>40</v>
      </c>
      <c r="F484" s="6"/>
      <c r="G484" s="6"/>
      <c r="H484" s="6" t="s">
        <v>3065</v>
      </c>
      <c r="I484" s="7" t="n">
        <v>3499</v>
      </c>
      <c r="J484" s="7" t="n">
        <v>3499</v>
      </c>
      <c r="K484" s="6" t="n">
        <v>20</v>
      </c>
      <c r="L484" s="6" t="n">
        <v>4</v>
      </c>
      <c r="M484" s="6" t="s">
        <v>3008</v>
      </c>
      <c r="N484" s="6" t="s">
        <v>3096</v>
      </c>
      <c r="O484" s="8" t="b">
        <f aca="false">TRUE()</f>
        <v>1</v>
      </c>
      <c r="P484" s="6" t="s">
        <v>3097</v>
      </c>
      <c r="Q484" s="6" t="s">
        <v>3011</v>
      </c>
      <c r="R484" s="6" t="s">
        <v>3011</v>
      </c>
      <c r="S484" s="9" t="b">
        <f aca="false">FALSE()</f>
        <v>0</v>
      </c>
      <c r="T484" s="6"/>
      <c r="U484" s="6"/>
      <c r="V484" s="6"/>
      <c r="W484" s="6"/>
    </row>
    <row r="485" customFormat="false" ht="15" hidden="false" customHeight="false" outlineLevel="0" collapsed="false">
      <c r="A485" s="6" t="s">
        <v>3098</v>
      </c>
      <c r="B485" s="6" t="s">
        <v>3099</v>
      </c>
      <c r="C485" s="6" t="s">
        <v>3100</v>
      </c>
      <c r="D485" s="6" t="s">
        <v>39</v>
      </c>
      <c r="E485" s="6" t="s">
        <v>40</v>
      </c>
      <c r="F485" s="6"/>
      <c r="G485" s="6"/>
      <c r="H485" s="6" t="s">
        <v>3065</v>
      </c>
      <c r="I485" s="7" t="n">
        <v>3499</v>
      </c>
      <c r="J485" s="7" t="n">
        <v>3499</v>
      </c>
      <c r="K485" s="6" t="n">
        <v>20</v>
      </c>
      <c r="L485" s="6" t="n">
        <v>4</v>
      </c>
      <c r="M485" s="6" t="s">
        <v>3008</v>
      </c>
      <c r="N485" s="6" t="s">
        <v>3101</v>
      </c>
      <c r="O485" s="8" t="b">
        <f aca="false">TRUE()</f>
        <v>1</v>
      </c>
      <c r="P485" s="6" t="s">
        <v>3102</v>
      </c>
      <c r="Q485" s="6" t="s">
        <v>3011</v>
      </c>
      <c r="R485" s="6" t="s">
        <v>3011</v>
      </c>
      <c r="S485" s="9" t="b">
        <f aca="false">FALSE()</f>
        <v>0</v>
      </c>
      <c r="T485" s="6"/>
      <c r="U485" s="6"/>
      <c r="V485" s="6"/>
      <c r="W485" s="6"/>
    </row>
    <row r="486" customFormat="false" ht="15" hidden="false" customHeight="false" outlineLevel="0" collapsed="false">
      <c r="A486" s="6" t="s">
        <v>3103</v>
      </c>
      <c r="B486" s="6" t="s">
        <v>3104</v>
      </c>
      <c r="C486" s="6" t="s">
        <v>3105</v>
      </c>
      <c r="D486" s="6" t="s">
        <v>39</v>
      </c>
      <c r="E486" s="6" t="s">
        <v>40</v>
      </c>
      <c r="F486" s="6"/>
      <c r="G486" s="6"/>
      <c r="H486" s="6" t="s">
        <v>3065</v>
      </c>
      <c r="I486" s="7" t="n">
        <v>3499</v>
      </c>
      <c r="J486" s="7" t="n">
        <v>3499</v>
      </c>
      <c r="K486" s="6" t="n">
        <v>20</v>
      </c>
      <c r="L486" s="6" t="n">
        <v>4</v>
      </c>
      <c r="M486" s="6" t="s">
        <v>3008</v>
      </c>
      <c r="N486" s="6" t="s">
        <v>3106</v>
      </c>
      <c r="O486" s="8" t="b">
        <f aca="false">TRUE()</f>
        <v>1</v>
      </c>
      <c r="P486" s="6" t="s">
        <v>3107</v>
      </c>
      <c r="Q486" s="6" t="s">
        <v>3011</v>
      </c>
      <c r="R486" s="6" t="s">
        <v>3011</v>
      </c>
      <c r="S486" s="9" t="b">
        <f aca="false">FALSE()</f>
        <v>0</v>
      </c>
      <c r="T486" s="6"/>
      <c r="U486" s="6"/>
      <c r="V486" s="6"/>
      <c r="W486" s="6"/>
    </row>
    <row r="487" customFormat="false" ht="15" hidden="false" customHeight="false" outlineLevel="0" collapsed="false">
      <c r="A487" s="6" t="s">
        <v>3108</v>
      </c>
      <c r="B487" s="6" t="s">
        <v>3109</v>
      </c>
      <c r="C487" s="6" t="s">
        <v>3110</v>
      </c>
      <c r="D487" s="6" t="s">
        <v>39</v>
      </c>
      <c r="E487" s="6" t="s">
        <v>40</v>
      </c>
      <c r="F487" s="6"/>
      <c r="G487" s="6"/>
      <c r="H487" s="6" t="s">
        <v>3065</v>
      </c>
      <c r="I487" s="7" t="n">
        <v>3499</v>
      </c>
      <c r="J487" s="7" t="n">
        <v>3499</v>
      </c>
      <c r="K487" s="6" t="n">
        <v>20</v>
      </c>
      <c r="L487" s="6" t="n">
        <v>4</v>
      </c>
      <c r="M487" s="6" t="s">
        <v>3008</v>
      </c>
      <c r="N487" s="6" t="s">
        <v>3111</v>
      </c>
      <c r="O487" s="8" t="b">
        <f aca="false">TRUE()</f>
        <v>1</v>
      </c>
      <c r="P487" s="6" t="s">
        <v>3112</v>
      </c>
      <c r="Q487" s="6" t="s">
        <v>3011</v>
      </c>
      <c r="R487" s="6" t="s">
        <v>3011</v>
      </c>
      <c r="S487" s="9" t="b">
        <f aca="false">FALSE()</f>
        <v>0</v>
      </c>
      <c r="T487" s="6"/>
      <c r="U487" s="6"/>
      <c r="V487" s="6"/>
      <c r="W487" s="6"/>
    </row>
    <row r="488" customFormat="false" ht="15" hidden="false" customHeight="false" outlineLevel="0" collapsed="false">
      <c r="A488" s="6" t="s">
        <v>3113</v>
      </c>
      <c r="B488" s="6" t="s">
        <v>3114</v>
      </c>
      <c r="C488" s="6" t="s">
        <v>3115</v>
      </c>
      <c r="D488" s="6" t="s">
        <v>39</v>
      </c>
      <c r="E488" s="6" t="s">
        <v>40</v>
      </c>
      <c r="F488" s="6"/>
      <c r="G488" s="6"/>
      <c r="H488" s="6" t="s">
        <v>3065</v>
      </c>
      <c r="I488" s="7" t="n">
        <v>3499</v>
      </c>
      <c r="J488" s="7" t="n">
        <v>3499</v>
      </c>
      <c r="K488" s="6" t="n">
        <v>20</v>
      </c>
      <c r="L488" s="6" t="n">
        <v>4</v>
      </c>
      <c r="M488" s="6" t="s">
        <v>3008</v>
      </c>
      <c r="N488" s="6" t="s">
        <v>3116</v>
      </c>
      <c r="O488" s="8" t="b">
        <f aca="false">TRUE()</f>
        <v>1</v>
      </c>
      <c r="P488" s="6" t="s">
        <v>3117</v>
      </c>
      <c r="Q488" s="6" t="s">
        <v>3011</v>
      </c>
      <c r="R488" s="6" t="s">
        <v>3011</v>
      </c>
      <c r="S488" s="9" t="b">
        <f aca="false">FALSE()</f>
        <v>0</v>
      </c>
      <c r="T488" s="6"/>
      <c r="U488" s="6"/>
      <c r="V488" s="6"/>
      <c r="W488" s="6"/>
    </row>
    <row r="489" customFormat="false" ht="15" hidden="false" customHeight="false" outlineLevel="0" collapsed="false">
      <c r="A489" s="6" t="s">
        <v>3118</v>
      </c>
      <c r="B489" s="6" t="s">
        <v>3119</v>
      </c>
      <c r="C489" s="6" t="s">
        <v>3120</v>
      </c>
      <c r="D489" s="6" t="s">
        <v>39</v>
      </c>
      <c r="E489" s="6" t="s">
        <v>40</v>
      </c>
      <c r="F489" s="6"/>
      <c r="G489" s="6"/>
      <c r="H489" s="6" t="s">
        <v>3065</v>
      </c>
      <c r="I489" s="7" t="n">
        <v>3499</v>
      </c>
      <c r="J489" s="7" t="n">
        <v>3499</v>
      </c>
      <c r="K489" s="6" t="n">
        <v>20</v>
      </c>
      <c r="L489" s="6" t="n">
        <v>4</v>
      </c>
      <c r="M489" s="6" t="s">
        <v>3008</v>
      </c>
      <c r="N489" s="6" t="s">
        <v>3121</v>
      </c>
      <c r="O489" s="8" t="b">
        <f aca="false">TRUE()</f>
        <v>1</v>
      </c>
      <c r="P489" s="6" t="s">
        <v>3122</v>
      </c>
      <c r="Q489" s="6" t="s">
        <v>3011</v>
      </c>
      <c r="R489" s="6" t="s">
        <v>3011</v>
      </c>
      <c r="S489" s="9" t="b">
        <f aca="false">FALSE()</f>
        <v>0</v>
      </c>
      <c r="T489" s="6"/>
      <c r="U489" s="6"/>
      <c r="V489" s="6"/>
      <c r="W489" s="6"/>
    </row>
    <row r="490" customFormat="false" ht="15" hidden="false" customHeight="false" outlineLevel="0" collapsed="false">
      <c r="A490" s="6" t="s">
        <v>3123</v>
      </c>
      <c r="B490" s="6" t="s">
        <v>3124</v>
      </c>
      <c r="C490" s="6" t="s">
        <v>3125</v>
      </c>
      <c r="D490" s="6" t="s">
        <v>39</v>
      </c>
      <c r="E490" s="6" t="s">
        <v>40</v>
      </c>
      <c r="F490" s="6"/>
      <c r="G490" s="6"/>
      <c r="H490" s="6" t="s">
        <v>3065</v>
      </c>
      <c r="I490" s="7" t="n">
        <v>3499</v>
      </c>
      <c r="J490" s="7" t="n">
        <v>3499</v>
      </c>
      <c r="K490" s="6" t="n">
        <v>20</v>
      </c>
      <c r="L490" s="6" t="n">
        <v>4</v>
      </c>
      <c r="M490" s="6" t="s">
        <v>3008</v>
      </c>
      <c r="N490" s="6" t="s">
        <v>3126</v>
      </c>
      <c r="O490" s="8" t="b">
        <f aca="false">TRUE()</f>
        <v>1</v>
      </c>
      <c r="P490" s="6" t="s">
        <v>3127</v>
      </c>
      <c r="Q490" s="6" t="s">
        <v>3011</v>
      </c>
      <c r="R490" s="6" t="s">
        <v>3011</v>
      </c>
      <c r="S490" s="9" t="b">
        <f aca="false">FALSE()</f>
        <v>0</v>
      </c>
      <c r="T490" s="6"/>
      <c r="U490" s="6"/>
      <c r="V490" s="6"/>
      <c r="W490" s="6"/>
    </row>
    <row r="491" customFormat="false" ht="15" hidden="false" customHeight="false" outlineLevel="0" collapsed="false">
      <c r="A491" s="6" t="s">
        <v>3128</v>
      </c>
      <c r="B491" s="6" t="s">
        <v>3129</v>
      </c>
      <c r="C491" s="6" t="s">
        <v>3130</v>
      </c>
      <c r="D491" s="6" t="s">
        <v>39</v>
      </c>
      <c r="E491" s="6" t="s">
        <v>40</v>
      </c>
      <c r="F491" s="6"/>
      <c r="G491" s="6"/>
      <c r="H491" s="6" t="s">
        <v>3065</v>
      </c>
      <c r="I491" s="7" t="n">
        <v>3499</v>
      </c>
      <c r="J491" s="7" t="n">
        <v>3499</v>
      </c>
      <c r="K491" s="6" t="n">
        <v>20</v>
      </c>
      <c r="L491" s="6" t="n">
        <v>4</v>
      </c>
      <c r="M491" s="6" t="s">
        <v>3008</v>
      </c>
      <c r="N491" s="6" t="s">
        <v>3131</v>
      </c>
      <c r="O491" s="8" t="b">
        <f aca="false">TRUE()</f>
        <v>1</v>
      </c>
      <c r="P491" s="6" t="s">
        <v>3132</v>
      </c>
      <c r="Q491" s="6" t="s">
        <v>3011</v>
      </c>
      <c r="R491" s="6" t="s">
        <v>3011</v>
      </c>
      <c r="S491" s="9" t="b">
        <f aca="false">FALSE()</f>
        <v>0</v>
      </c>
      <c r="T491" s="6"/>
      <c r="U491" s="6"/>
      <c r="V491" s="6"/>
      <c r="W491" s="6"/>
    </row>
    <row r="492" customFormat="false" ht="15" hidden="false" customHeight="false" outlineLevel="0" collapsed="false">
      <c r="A492" s="6" t="s">
        <v>3133</v>
      </c>
      <c r="B492" s="6" t="s">
        <v>3134</v>
      </c>
      <c r="C492" s="6" t="s">
        <v>3135</v>
      </c>
      <c r="D492" s="6" t="s">
        <v>39</v>
      </c>
      <c r="E492" s="6" t="s">
        <v>40</v>
      </c>
      <c r="F492" s="6"/>
      <c r="G492" s="6"/>
      <c r="H492" s="6" t="s">
        <v>3065</v>
      </c>
      <c r="I492" s="7" t="n">
        <v>3499</v>
      </c>
      <c r="J492" s="7" t="n">
        <v>3499</v>
      </c>
      <c r="K492" s="6" t="n">
        <v>20</v>
      </c>
      <c r="L492" s="6" t="n">
        <v>4</v>
      </c>
      <c r="M492" s="6" t="s">
        <v>3008</v>
      </c>
      <c r="N492" s="6" t="s">
        <v>3136</v>
      </c>
      <c r="O492" s="8" t="b">
        <f aca="false">TRUE()</f>
        <v>1</v>
      </c>
      <c r="P492" s="6" t="s">
        <v>3137</v>
      </c>
      <c r="Q492" s="6" t="s">
        <v>3011</v>
      </c>
      <c r="R492" s="6" t="s">
        <v>3011</v>
      </c>
      <c r="S492" s="9" t="b">
        <f aca="false">FALSE()</f>
        <v>0</v>
      </c>
      <c r="T492" s="6"/>
      <c r="U492" s="6"/>
      <c r="V492" s="6"/>
      <c r="W492" s="6"/>
    </row>
    <row r="493" customFormat="false" ht="15" hidden="false" customHeight="false" outlineLevel="0" collapsed="false">
      <c r="A493" s="6" t="s">
        <v>3138</v>
      </c>
      <c r="B493" s="6" t="s">
        <v>3139</v>
      </c>
      <c r="C493" s="6" t="s">
        <v>3140</v>
      </c>
      <c r="D493" s="6" t="s">
        <v>39</v>
      </c>
      <c r="E493" s="6" t="s">
        <v>40</v>
      </c>
      <c r="F493" s="6"/>
      <c r="G493" s="6"/>
      <c r="H493" s="6" t="s">
        <v>3065</v>
      </c>
      <c r="I493" s="7" t="n">
        <v>3499</v>
      </c>
      <c r="J493" s="7" t="n">
        <v>3499</v>
      </c>
      <c r="K493" s="6" t="n">
        <v>20</v>
      </c>
      <c r="L493" s="6" t="n">
        <v>4</v>
      </c>
      <c r="M493" s="6" t="s">
        <v>3008</v>
      </c>
      <c r="N493" s="6" t="s">
        <v>3141</v>
      </c>
      <c r="O493" s="8" t="b">
        <f aca="false">TRUE()</f>
        <v>1</v>
      </c>
      <c r="P493" s="6" t="s">
        <v>3142</v>
      </c>
      <c r="Q493" s="6" t="s">
        <v>3011</v>
      </c>
      <c r="R493" s="6" t="s">
        <v>3011</v>
      </c>
      <c r="S493" s="9" t="b">
        <f aca="false">FALSE()</f>
        <v>0</v>
      </c>
      <c r="T493" s="6"/>
      <c r="U493" s="6"/>
      <c r="V493" s="6"/>
      <c r="W493" s="6"/>
    </row>
    <row r="494" customFormat="false" ht="15" hidden="false" customHeight="false" outlineLevel="0" collapsed="false">
      <c r="A494" s="6" t="s">
        <v>3143</v>
      </c>
      <c r="B494" s="6" t="s">
        <v>3144</v>
      </c>
      <c r="C494" s="6" t="s">
        <v>3145</v>
      </c>
      <c r="D494" s="6" t="s">
        <v>39</v>
      </c>
      <c r="E494" s="6" t="s">
        <v>40</v>
      </c>
      <c r="F494" s="6"/>
      <c r="G494" s="6"/>
      <c r="H494" s="6" t="s">
        <v>3065</v>
      </c>
      <c r="I494" s="7" t="n">
        <v>3499</v>
      </c>
      <c r="J494" s="7" t="n">
        <v>3499</v>
      </c>
      <c r="K494" s="6" t="n">
        <v>20</v>
      </c>
      <c r="L494" s="6" t="n">
        <v>4</v>
      </c>
      <c r="M494" s="6" t="s">
        <v>3008</v>
      </c>
      <c r="N494" s="6" t="s">
        <v>3146</v>
      </c>
      <c r="O494" s="8" t="b">
        <f aca="false">TRUE()</f>
        <v>1</v>
      </c>
      <c r="P494" s="6" t="s">
        <v>3147</v>
      </c>
      <c r="Q494" s="6" t="s">
        <v>3011</v>
      </c>
      <c r="R494" s="6" t="s">
        <v>3011</v>
      </c>
      <c r="S494" s="9" t="b">
        <f aca="false">FALSE()</f>
        <v>0</v>
      </c>
      <c r="T494" s="6"/>
      <c r="U494" s="6"/>
      <c r="V494" s="6"/>
      <c r="W494" s="6"/>
    </row>
    <row r="495" customFormat="false" ht="15" hidden="false" customHeight="false" outlineLevel="0" collapsed="false">
      <c r="A495" s="6" t="s">
        <v>3148</v>
      </c>
      <c r="B495" s="6" t="s">
        <v>3149</v>
      </c>
      <c r="C495" s="6" t="s">
        <v>3150</v>
      </c>
      <c r="D495" s="6" t="s">
        <v>39</v>
      </c>
      <c r="E495" s="6" t="s">
        <v>40</v>
      </c>
      <c r="F495" s="6"/>
      <c r="G495" s="6"/>
      <c r="H495" s="6" t="s">
        <v>3065</v>
      </c>
      <c r="I495" s="7" t="n">
        <v>3499</v>
      </c>
      <c r="J495" s="7" t="n">
        <v>3499</v>
      </c>
      <c r="K495" s="6" t="n">
        <v>20</v>
      </c>
      <c r="L495" s="6" t="n">
        <v>4</v>
      </c>
      <c r="M495" s="6" t="s">
        <v>3008</v>
      </c>
      <c r="N495" s="6" t="s">
        <v>3151</v>
      </c>
      <c r="O495" s="8" t="b">
        <f aca="false">TRUE()</f>
        <v>1</v>
      </c>
      <c r="P495" s="6" t="s">
        <v>3152</v>
      </c>
      <c r="Q495" s="6" t="s">
        <v>3011</v>
      </c>
      <c r="R495" s="6" t="s">
        <v>3011</v>
      </c>
      <c r="S495" s="9" t="b">
        <f aca="false">FALSE()</f>
        <v>0</v>
      </c>
      <c r="T495" s="6"/>
      <c r="U495" s="6"/>
      <c r="V495" s="6"/>
      <c r="W495" s="6"/>
    </row>
    <row r="496" customFormat="false" ht="15" hidden="false" customHeight="false" outlineLevel="0" collapsed="false">
      <c r="A496" s="6" t="s">
        <v>3153</v>
      </c>
      <c r="B496" s="6" t="s">
        <v>3154</v>
      </c>
      <c r="C496" s="6" t="s">
        <v>3155</v>
      </c>
      <c r="D496" s="6" t="s">
        <v>39</v>
      </c>
      <c r="E496" s="6" t="s">
        <v>40</v>
      </c>
      <c r="F496" s="6"/>
      <c r="G496" s="6"/>
      <c r="H496" s="6" t="s">
        <v>3065</v>
      </c>
      <c r="I496" s="7" t="n">
        <v>3499</v>
      </c>
      <c r="J496" s="7" t="n">
        <v>3499</v>
      </c>
      <c r="K496" s="6" t="n">
        <v>20</v>
      </c>
      <c r="L496" s="6" t="n">
        <v>4</v>
      </c>
      <c r="M496" s="6" t="s">
        <v>3008</v>
      </c>
      <c r="N496" s="6" t="s">
        <v>3156</v>
      </c>
      <c r="O496" s="8" t="b">
        <f aca="false">TRUE()</f>
        <v>1</v>
      </c>
      <c r="P496" s="6" t="s">
        <v>3157</v>
      </c>
      <c r="Q496" s="6" t="s">
        <v>3011</v>
      </c>
      <c r="R496" s="6" t="s">
        <v>3011</v>
      </c>
      <c r="S496" s="9" t="b">
        <f aca="false">FALSE()</f>
        <v>0</v>
      </c>
      <c r="T496" s="6"/>
      <c r="U496" s="6"/>
      <c r="V496" s="6"/>
      <c r="W496" s="6"/>
    </row>
    <row r="497" customFormat="false" ht="15" hidden="false" customHeight="false" outlineLevel="0" collapsed="false">
      <c r="A497" s="6" t="s">
        <v>3158</v>
      </c>
      <c r="B497" s="6" t="s">
        <v>3159</v>
      </c>
      <c r="C497" s="6" t="s">
        <v>3160</v>
      </c>
      <c r="D497" s="6" t="s">
        <v>39</v>
      </c>
      <c r="E497" s="6" t="s">
        <v>40</v>
      </c>
      <c r="F497" s="6"/>
      <c r="G497" s="6"/>
      <c r="H497" s="6" t="s">
        <v>3065</v>
      </c>
      <c r="I497" s="7" t="n">
        <v>3499</v>
      </c>
      <c r="J497" s="7" t="n">
        <v>3499</v>
      </c>
      <c r="K497" s="6" t="n">
        <v>20</v>
      </c>
      <c r="L497" s="6" t="n">
        <v>4</v>
      </c>
      <c r="M497" s="6" t="s">
        <v>3008</v>
      </c>
      <c r="N497" s="6" t="s">
        <v>3161</v>
      </c>
      <c r="O497" s="8" t="b">
        <f aca="false">TRUE()</f>
        <v>1</v>
      </c>
      <c r="P497" s="6" t="s">
        <v>3162</v>
      </c>
      <c r="Q497" s="6" t="s">
        <v>3011</v>
      </c>
      <c r="R497" s="6" t="s">
        <v>3011</v>
      </c>
      <c r="S497" s="9" t="b">
        <f aca="false">FALSE()</f>
        <v>0</v>
      </c>
      <c r="T497" s="6"/>
      <c r="U497" s="6"/>
      <c r="V497" s="6"/>
      <c r="W497" s="6"/>
    </row>
    <row r="498" customFormat="false" ht="15" hidden="false" customHeight="false" outlineLevel="0" collapsed="false">
      <c r="A498" s="6" t="s">
        <v>3163</v>
      </c>
      <c r="B498" s="6" t="s">
        <v>3164</v>
      </c>
      <c r="C498" s="6" t="s">
        <v>3165</v>
      </c>
      <c r="D498" s="6" t="s">
        <v>39</v>
      </c>
      <c r="E498" s="6" t="s">
        <v>40</v>
      </c>
      <c r="F498" s="6"/>
      <c r="G498" s="6"/>
      <c r="H498" s="6" t="s">
        <v>3166</v>
      </c>
      <c r="I498" s="7" t="n">
        <v>3499</v>
      </c>
      <c r="J498" s="7" t="n">
        <v>3499</v>
      </c>
      <c r="K498" s="6" t="n">
        <v>20</v>
      </c>
      <c r="L498" s="6" t="n">
        <v>4</v>
      </c>
      <c r="M498" s="6" t="s">
        <v>3008</v>
      </c>
      <c r="N498" s="6" t="s">
        <v>3167</v>
      </c>
      <c r="O498" s="8" t="b">
        <f aca="false">TRUE()</f>
        <v>1</v>
      </c>
      <c r="P498" s="6" t="s">
        <v>3168</v>
      </c>
      <c r="Q498" s="6" t="s">
        <v>3011</v>
      </c>
      <c r="R498" s="6" t="s">
        <v>3011</v>
      </c>
      <c r="S498" s="9" t="b">
        <f aca="false">FALSE()</f>
        <v>0</v>
      </c>
      <c r="T498" s="6"/>
      <c r="U498" s="6"/>
      <c r="V498" s="6"/>
      <c r="W498" s="6"/>
    </row>
    <row r="499" customFormat="false" ht="15" hidden="false" customHeight="false" outlineLevel="0" collapsed="false">
      <c r="A499" s="6" t="s">
        <v>3169</v>
      </c>
      <c r="B499" s="6" t="s">
        <v>3170</v>
      </c>
      <c r="C499" s="6" t="s">
        <v>3171</v>
      </c>
      <c r="D499" s="6" t="s">
        <v>39</v>
      </c>
      <c r="E499" s="6" t="s">
        <v>40</v>
      </c>
      <c r="F499" s="6"/>
      <c r="G499" s="6"/>
      <c r="H499" s="6" t="s">
        <v>3166</v>
      </c>
      <c r="I499" s="7" t="n">
        <v>3499</v>
      </c>
      <c r="J499" s="7" t="n">
        <v>3499</v>
      </c>
      <c r="K499" s="6" t="n">
        <v>20</v>
      </c>
      <c r="L499" s="6" t="n">
        <v>4</v>
      </c>
      <c r="M499" s="6" t="s">
        <v>3008</v>
      </c>
      <c r="N499" s="6" t="s">
        <v>3172</v>
      </c>
      <c r="O499" s="8" t="b">
        <f aca="false">TRUE()</f>
        <v>1</v>
      </c>
      <c r="P499" s="6" t="s">
        <v>3173</v>
      </c>
      <c r="Q499" s="6" t="s">
        <v>3011</v>
      </c>
      <c r="R499" s="6" t="s">
        <v>3011</v>
      </c>
      <c r="S499" s="9" t="b">
        <f aca="false">FALSE()</f>
        <v>0</v>
      </c>
      <c r="T499" s="6"/>
      <c r="U499" s="6"/>
      <c r="V499" s="6"/>
      <c r="W499" s="6"/>
    </row>
    <row r="500" customFormat="false" ht="15" hidden="false" customHeight="false" outlineLevel="0" collapsed="false">
      <c r="A500" s="6" t="s">
        <v>3174</v>
      </c>
      <c r="B500" s="6" t="s">
        <v>3175</v>
      </c>
      <c r="C500" s="6" t="s">
        <v>3176</v>
      </c>
      <c r="D500" s="6" t="s">
        <v>39</v>
      </c>
      <c r="E500" s="6" t="s">
        <v>40</v>
      </c>
      <c r="F500" s="6"/>
      <c r="G500" s="6"/>
      <c r="H500" s="6" t="s">
        <v>3166</v>
      </c>
      <c r="I500" s="7" t="n">
        <v>3499</v>
      </c>
      <c r="J500" s="7" t="n">
        <v>3499</v>
      </c>
      <c r="K500" s="6" t="n">
        <v>20</v>
      </c>
      <c r="L500" s="6" t="n">
        <v>4</v>
      </c>
      <c r="M500" s="6" t="s">
        <v>3008</v>
      </c>
      <c r="N500" s="6" t="s">
        <v>3177</v>
      </c>
      <c r="O500" s="8" t="b">
        <f aca="false">TRUE()</f>
        <v>1</v>
      </c>
      <c r="P500" s="6" t="s">
        <v>3178</v>
      </c>
      <c r="Q500" s="6" t="s">
        <v>3011</v>
      </c>
      <c r="R500" s="6" t="s">
        <v>3011</v>
      </c>
      <c r="S500" s="9" t="b">
        <f aca="false">FALSE()</f>
        <v>0</v>
      </c>
      <c r="T500" s="6"/>
      <c r="U500" s="6"/>
      <c r="V500" s="6"/>
      <c r="W500" s="6"/>
    </row>
    <row r="501" customFormat="false" ht="15" hidden="false" customHeight="false" outlineLevel="0" collapsed="false">
      <c r="A501" s="6" t="s">
        <v>3179</v>
      </c>
      <c r="B501" s="6" t="s">
        <v>3180</v>
      </c>
      <c r="C501" s="6" t="s">
        <v>3181</v>
      </c>
      <c r="D501" s="6" t="s">
        <v>39</v>
      </c>
      <c r="E501" s="6" t="s">
        <v>40</v>
      </c>
      <c r="F501" s="6"/>
      <c r="G501" s="6"/>
      <c r="H501" s="6" t="s">
        <v>3166</v>
      </c>
      <c r="I501" s="7" t="n">
        <v>3499</v>
      </c>
      <c r="J501" s="7" t="n">
        <v>3499</v>
      </c>
      <c r="K501" s="6" t="n">
        <v>20</v>
      </c>
      <c r="L501" s="6" t="n">
        <v>4</v>
      </c>
      <c r="M501" s="6" t="s">
        <v>3008</v>
      </c>
      <c r="N501" s="6" t="s">
        <v>3182</v>
      </c>
      <c r="O501" s="8" t="b">
        <f aca="false">TRUE()</f>
        <v>1</v>
      </c>
      <c r="P501" s="6" t="s">
        <v>3183</v>
      </c>
      <c r="Q501" s="6" t="s">
        <v>3011</v>
      </c>
      <c r="R501" s="6" t="s">
        <v>3011</v>
      </c>
      <c r="S501" s="9" t="b">
        <f aca="false">FALSE()</f>
        <v>0</v>
      </c>
      <c r="T501" s="6"/>
      <c r="U501" s="6"/>
      <c r="V501" s="6"/>
      <c r="W501" s="6"/>
    </row>
    <row r="502" customFormat="false" ht="15" hidden="false" customHeight="false" outlineLevel="0" collapsed="false">
      <c r="A502" s="6" t="s">
        <v>3184</v>
      </c>
      <c r="B502" s="6" t="s">
        <v>3185</v>
      </c>
      <c r="C502" s="6" t="s">
        <v>3186</v>
      </c>
      <c r="D502" s="6" t="s">
        <v>39</v>
      </c>
      <c r="E502" s="6" t="s">
        <v>40</v>
      </c>
      <c r="F502" s="6"/>
      <c r="G502" s="6"/>
      <c r="H502" s="6" t="s">
        <v>3166</v>
      </c>
      <c r="I502" s="7" t="n">
        <v>3499</v>
      </c>
      <c r="J502" s="7" t="n">
        <v>3499</v>
      </c>
      <c r="K502" s="6" t="n">
        <v>20</v>
      </c>
      <c r="L502" s="6" t="n">
        <v>4</v>
      </c>
      <c r="M502" s="6" t="s">
        <v>3008</v>
      </c>
      <c r="N502" s="6" t="s">
        <v>3187</v>
      </c>
      <c r="O502" s="8" t="b">
        <f aca="false">TRUE()</f>
        <v>1</v>
      </c>
      <c r="P502" s="6" t="s">
        <v>3188</v>
      </c>
      <c r="Q502" s="6" t="s">
        <v>3011</v>
      </c>
      <c r="R502" s="6" t="s">
        <v>3011</v>
      </c>
      <c r="S502" s="9" t="b">
        <f aca="false">FALSE()</f>
        <v>0</v>
      </c>
      <c r="T502" s="6"/>
      <c r="U502" s="6"/>
      <c r="V502" s="6"/>
      <c r="W502" s="6"/>
    </row>
    <row r="503" customFormat="false" ht="15" hidden="false" customHeight="false" outlineLevel="0" collapsed="false">
      <c r="A503" s="6" t="s">
        <v>3189</v>
      </c>
      <c r="B503" s="6" t="s">
        <v>3190</v>
      </c>
      <c r="C503" s="6" t="s">
        <v>3191</v>
      </c>
      <c r="D503" s="6" t="s">
        <v>39</v>
      </c>
      <c r="E503" s="6" t="s">
        <v>40</v>
      </c>
      <c r="F503" s="6"/>
      <c r="G503" s="6"/>
      <c r="H503" s="6" t="s">
        <v>3166</v>
      </c>
      <c r="I503" s="7" t="n">
        <v>3499</v>
      </c>
      <c r="J503" s="7" t="n">
        <v>3499</v>
      </c>
      <c r="K503" s="6" t="n">
        <v>20</v>
      </c>
      <c r="L503" s="6" t="n">
        <v>4</v>
      </c>
      <c r="M503" s="6" t="s">
        <v>3008</v>
      </c>
      <c r="N503" s="6" t="s">
        <v>3192</v>
      </c>
      <c r="O503" s="8" t="b">
        <f aca="false">TRUE()</f>
        <v>1</v>
      </c>
      <c r="P503" s="6" t="s">
        <v>3193</v>
      </c>
      <c r="Q503" s="6" t="s">
        <v>3011</v>
      </c>
      <c r="R503" s="6" t="s">
        <v>3011</v>
      </c>
      <c r="S503" s="9" t="b">
        <f aca="false">FALSE()</f>
        <v>0</v>
      </c>
      <c r="T503" s="6"/>
      <c r="U503" s="6"/>
      <c r="V503" s="6"/>
      <c r="W503" s="6"/>
    </row>
    <row r="504" customFormat="false" ht="15" hidden="false" customHeight="false" outlineLevel="0" collapsed="false">
      <c r="A504" s="6" t="s">
        <v>3194</v>
      </c>
      <c r="B504" s="6" t="s">
        <v>3195</v>
      </c>
      <c r="C504" s="6" t="s">
        <v>3196</v>
      </c>
      <c r="D504" s="6" t="s">
        <v>39</v>
      </c>
      <c r="E504" s="6" t="s">
        <v>40</v>
      </c>
      <c r="F504" s="6"/>
      <c r="G504" s="6"/>
      <c r="H504" s="6" t="s">
        <v>3166</v>
      </c>
      <c r="I504" s="7" t="n">
        <v>3499</v>
      </c>
      <c r="J504" s="7" t="n">
        <v>3499</v>
      </c>
      <c r="K504" s="6" t="n">
        <v>20</v>
      </c>
      <c r="L504" s="6" t="n">
        <v>4</v>
      </c>
      <c r="M504" s="6" t="s">
        <v>3008</v>
      </c>
      <c r="N504" s="6" t="s">
        <v>3197</v>
      </c>
      <c r="O504" s="8" t="b">
        <f aca="false">TRUE()</f>
        <v>1</v>
      </c>
      <c r="P504" s="6" t="s">
        <v>3198</v>
      </c>
      <c r="Q504" s="6" t="s">
        <v>3011</v>
      </c>
      <c r="R504" s="6" t="s">
        <v>3011</v>
      </c>
      <c r="S504" s="9" t="b">
        <f aca="false">FALSE()</f>
        <v>0</v>
      </c>
      <c r="T504" s="6"/>
      <c r="U504" s="6"/>
      <c r="V504" s="6"/>
      <c r="W504" s="6"/>
    </row>
    <row r="505" customFormat="false" ht="15" hidden="false" customHeight="false" outlineLevel="0" collapsed="false">
      <c r="A505" s="6" t="s">
        <v>3199</v>
      </c>
      <c r="B505" s="6" t="s">
        <v>3200</v>
      </c>
      <c r="C505" s="6" t="s">
        <v>3201</v>
      </c>
      <c r="D505" s="6" t="s">
        <v>39</v>
      </c>
      <c r="E505" s="6" t="s">
        <v>40</v>
      </c>
      <c r="F505" s="6"/>
      <c r="G505" s="6"/>
      <c r="H505" s="6" t="s">
        <v>3166</v>
      </c>
      <c r="I505" s="7" t="n">
        <v>3499</v>
      </c>
      <c r="J505" s="7" t="n">
        <v>3499</v>
      </c>
      <c r="K505" s="6" t="n">
        <v>20</v>
      </c>
      <c r="L505" s="6" t="n">
        <v>4</v>
      </c>
      <c r="M505" s="6" t="s">
        <v>3008</v>
      </c>
      <c r="N505" s="6" t="s">
        <v>3202</v>
      </c>
      <c r="O505" s="8" t="b">
        <f aca="false">TRUE()</f>
        <v>1</v>
      </c>
      <c r="P505" s="6" t="s">
        <v>3203</v>
      </c>
      <c r="Q505" s="6" t="s">
        <v>3011</v>
      </c>
      <c r="R505" s="6" t="s">
        <v>3011</v>
      </c>
      <c r="S505" s="9" t="b">
        <f aca="false">FALSE()</f>
        <v>0</v>
      </c>
      <c r="T505" s="6"/>
      <c r="U505" s="6"/>
      <c r="V505" s="6"/>
      <c r="W505" s="6"/>
    </row>
    <row r="506" customFormat="false" ht="15" hidden="false" customHeight="false" outlineLevel="0" collapsed="false">
      <c r="A506" s="6" t="s">
        <v>3204</v>
      </c>
      <c r="B506" s="6" t="s">
        <v>3205</v>
      </c>
      <c r="C506" s="6" t="s">
        <v>3206</v>
      </c>
      <c r="D506" s="6" t="s">
        <v>39</v>
      </c>
      <c r="E506" s="6" t="s">
        <v>40</v>
      </c>
      <c r="F506" s="6"/>
      <c r="G506" s="6"/>
      <c r="H506" s="6" t="s">
        <v>3166</v>
      </c>
      <c r="I506" s="7" t="n">
        <v>3499</v>
      </c>
      <c r="J506" s="7" t="n">
        <v>3499</v>
      </c>
      <c r="K506" s="6" t="n">
        <v>20</v>
      </c>
      <c r="L506" s="6" t="n">
        <v>4</v>
      </c>
      <c r="M506" s="6" t="s">
        <v>3008</v>
      </c>
      <c r="N506" s="6" t="s">
        <v>3207</v>
      </c>
      <c r="O506" s="8" t="b">
        <f aca="false">TRUE()</f>
        <v>1</v>
      </c>
      <c r="P506" s="6" t="s">
        <v>3208</v>
      </c>
      <c r="Q506" s="6" t="s">
        <v>3011</v>
      </c>
      <c r="R506" s="6" t="s">
        <v>3011</v>
      </c>
      <c r="S506" s="9" t="b">
        <f aca="false">FALSE()</f>
        <v>0</v>
      </c>
      <c r="T506" s="6"/>
      <c r="U506" s="6"/>
      <c r="V506" s="6"/>
      <c r="W506" s="6"/>
    </row>
    <row r="507" customFormat="false" ht="15" hidden="false" customHeight="false" outlineLevel="0" collapsed="false">
      <c r="A507" s="6" t="s">
        <v>3209</v>
      </c>
      <c r="B507" s="6" t="s">
        <v>3210</v>
      </c>
      <c r="C507" s="6" t="s">
        <v>3211</v>
      </c>
      <c r="D507" s="6" t="s">
        <v>39</v>
      </c>
      <c r="E507" s="6" t="s">
        <v>40</v>
      </c>
      <c r="F507" s="6"/>
      <c r="G507" s="6"/>
      <c r="H507" s="6" t="s">
        <v>3166</v>
      </c>
      <c r="I507" s="7" t="n">
        <v>3499</v>
      </c>
      <c r="J507" s="7" t="n">
        <v>3499</v>
      </c>
      <c r="K507" s="6" t="n">
        <v>20</v>
      </c>
      <c r="L507" s="6" t="n">
        <v>4</v>
      </c>
      <c r="M507" s="6" t="s">
        <v>3008</v>
      </c>
      <c r="N507" s="6" t="s">
        <v>3212</v>
      </c>
      <c r="O507" s="8" t="b">
        <f aca="false">TRUE()</f>
        <v>1</v>
      </c>
      <c r="P507" s="6" t="s">
        <v>3213</v>
      </c>
      <c r="Q507" s="6" t="s">
        <v>3011</v>
      </c>
      <c r="R507" s="6" t="s">
        <v>3011</v>
      </c>
      <c r="S507" s="9" t="b">
        <f aca="false">FALSE()</f>
        <v>0</v>
      </c>
      <c r="T507" s="6"/>
      <c r="U507" s="6"/>
      <c r="V507" s="6"/>
      <c r="W507" s="6"/>
    </row>
  </sheetData>
  <autoFilter ref="A1:W5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60"/>
    <col collapsed="false" customWidth="true" hidden="false" outlineLevel="0" max="13" min="13" style="0" width="14"/>
  </cols>
  <sheetData>
    <row r="1" customFormat="false" ht="21.75" hidden="false" customHeight="true" outlineLevel="0" collapsed="false">
      <c r="A1" s="5" t="s">
        <v>32</v>
      </c>
      <c r="B1" s="5" t="s">
        <v>3214</v>
      </c>
      <c r="C1" s="5" t="s">
        <v>3215</v>
      </c>
      <c r="D1" s="5" t="s">
        <v>3216</v>
      </c>
      <c r="E1" s="5" t="s">
        <v>3217</v>
      </c>
      <c r="F1" s="5" t="s">
        <v>34</v>
      </c>
      <c r="G1" s="5" t="s">
        <v>3218</v>
      </c>
      <c r="H1" s="5" t="s">
        <v>3219</v>
      </c>
      <c r="I1" s="5" t="s">
        <v>3220</v>
      </c>
      <c r="J1" s="5" t="s">
        <v>3221</v>
      </c>
      <c r="K1" s="5" t="s">
        <v>3222</v>
      </c>
      <c r="L1" s="5" t="s">
        <v>3223</v>
      </c>
      <c r="M1" s="5" t="s">
        <v>35</v>
      </c>
    </row>
    <row r="2" customFormat="false" ht="15" hidden="false" customHeight="false" outlineLevel="0" collapsed="false">
      <c r="A2" s="6" t="s">
        <v>702</v>
      </c>
      <c r="B2" s="6" t="s">
        <v>696</v>
      </c>
      <c r="C2" s="6" t="s">
        <v>108</v>
      </c>
      <c r="D2" s="6" t="s">
        <v>108</v>
      </c>
      <c r="E2" s="6" t="s">
        <v>3224</v>
      </c>
      <c r="F2" s="6" t="s">
        <v>703</v>
      </c>
      <c r="G2" s="10" t="b">
        <f aca="false">TRUE()</f>
        <v>1</v>
      </c>
      <c r="H2" s="6" t="s">
        <v>697</v>
      </c>
      <c r="I2" s="6" t="s">
        <v>698</v>
      </c>
      <c r="J2" s="6" t="s">
        <v>39</v>
      </c>
      <c r="K2" s="7" t="n">
        <v>2999</v>
      </c>
      <c r="L2" s="6" t="s">
        <v>3225</v>
      </c>
      <c r="M2" s="6" t="s">
        <v>92</v>
      </c>
    </row>
    <row r="3" customFormat="false" ht="15" hidden="false" customHeight="false" outlineLevel="0" collapsed="false">
      <c r="A3" s="6" t="s">
        <v>770</v>
      </c>
      <c r="B3" s="6" t="s">
        <v>763</v>
      </c>
      <c r="C3" s="6" t="s">
        <v>108</v>
      </c>
      <c r="D3" s="6" t="s">
        <v>108</v>
      </c>
      <c r="E3" s="6"/>
      <c r="F3" s="6" t="s">
        <v>771</v>
      </c>
      <c r="G3" s="10" t="b">
        <f aca="false">TRUE()</f>
        <v>1</v>
      </c>
      <c r="H3" s="6" t="s">
        <v>764</v>
      </c>
      <c r="I3" s="6" t="s">
        <v>765</v>
      </c>
      <c r="J3" s="6" t="s">
        <v>39</v>
      </c>
      <c r="K3" s="7" t="n">
        <v>2499</v>
      </c>
      <c r="L3" s="6" t="s">
        <v>3226</v>
      </c>
      <c r="M3" s="6" t="s">
        <v>92</v>
      </c>
    </row>
    <row r="4" customFormat="false" ht="15" hidden="false" customHeight="false" outlineLevel="0" collapsed="false">
      <c r="A4" s="6" t="s">
        <v>761</v>
      </c>
      <c r="B4" s="6" t="s">
        <v>755</v>
      </c>
      <c r="C4" s="6" t="s">
        <v>108</v>
      </c>
      <c r="D4" s="6" t="s">
        <v>108</v>
      </c>
      <c r="E4" s="6"/>
      <c r="F4" s="6" t="s">
        <v>762</v>
      </c>
      <c r="G4" s="10" t="b">
        <f aca="false">TRUE()</f>
        <v>1</v>
      </c>
      <c r="H4" s="6" t="s">
        <v>756</v>
      </c>
      <c r="I4" s="6" t="s">
        <v>757</v>
      </c>
      <c r="J4" s="6" t="s">
        <v>39</v>
      </c>
      <c r="K4" s="7" t="n">
        <v>3499</v>
      </c>
      <c r="L4" s="6" t="s">
        <v>3227</v>
      </c>
      <c r="M4" s="6" t="s">
        <v>92</v>
      </c>
    </row>
    <row r="5" customFormat="false" ht="15" hidden="false" customHeight="false" outlineLevel="0" collapsed="false">
      <c r="A5" s="6" t="s">
        <v>634</v>
      </c>
      <c r="B5" s="6" t="s">
        <v>628</v>
      </c>
      <c r="C5" s="6" t="s">
        <v>108</v>
      </c>
      <c r="D5" s="6" t="s">
        <v>108</v>
      </c>
      <c r="E5" s="6"/>
      <c r="F5" s="6" t="s">
        <v>635</v>
      </c>
      <c r="G5" s="10" t="b">
        <f aca="false">TRUE()</f>
        <v>1</v>
      </c>
      <c r="H5" s="6" t="s">
        <v>629</v>
      </c>
      <c r="I5" s="6" t="s">
        <v>630</v>
      </c>
      <c r="J5" s="6" t="s">
        <v>39</v>
      </c>
      <c r="K5" s="7" t="n">
        <v>5000</v>
      </c>
      <c r="L5" s="6" t="s">
        <v>3228</v>
      </c>
      <c r="M5" s="6" t="s">
        <v>92</v>
      </c>
    </row>
    <row r="6" customFormat="false" ht="15" hidden="false" customHeight="false" outlineLevel="0" collapsed="false">
      <c r="A6" s="6" t="s">
        <v>255</v>
      </c>
      <c r="B6" s="6" t="s">
        <v>250</v>
      </c>
      <c r="C6" s="6" t="s">
        <v>108</v>
      </c>
      <c r="D6" s="6" t="s">
        <v>108</v>
      </c>
      <c r="E6" s="6" t="s">
        <v>3224</v>
      </c>
      <c r="F6" s="6" t="s">
        <v>256</v>
      </c>
      <c r="G6" s="10" t="b">
        <f aca="false">TRUE()</f>
        <v>1</v>
      </c>
      <c r="H6" s="6" t="s">
        <v>251</v>
      </c>
      <c r="I6" s="6" t="s">
        <v>252</v>
      </c>
      <c r="J6" s="6" t="s">
        <v>39</v>
      </c>
      <c r="K6" s="7" t="n">
        <v>2499</v>
      </c>
      <c r="L6" s="6" t="s">
        <v>3229</v>
      </c>
      <c r="M6" s="6" t="s">
        <v>92</v>
      </c>
    </row>
    <row r="7" customFormat="false" ht="15" hidden="false" customHeight="false" outlineLevel="0" collapsed="false">
      <c r="A7" s="6" t="s">
        <v>386</v>
      </c>
      <c r="B7" s="6" t="s">
        <v>380</v>
      </c>
      <c r="C7" s="6" t="s">
        <v>108</v>
      </c>
      <c r="D7" s="6" t="s">
        <v>108</v>
      </c>
      <c r="E7" s="6" t="s">
        <v>3224</v>
      </c>
      <c r="F7" s="6" t="s">
        <v>387</v>
      </c>
      <c r="G7" s="10" t="b">
        <f aca="false">TRUE()</f>
        <v>1</v>
      </c>
      <c r="H7" s="6" t="s">
        <v>381</v>
      </c>
      <c r="I7" s="6" t="s">
        <v>382</v>
      </c>
      <c r="J7" s="6" t="s">
        <v>39</v>
      </c>
      <c r="K7" s="7" t="n">
        <v>3999</v>
      </c>
      <c r="L7" s="6" t="s">
        <v>384</v>
      </c>
      <c r="M7" s="6" t="s">
        <v>92</v>
      </c>
    </row>
    <row r="8" customFormat="false" ht="15" hidden="false" customHeight="false" outlineLevel="0" collapsed="false">
      <c r="A8" s="6" t="s">
        <v>142</v>
      </c>
      <c r="B8" s="6" t="s">
        <v>135</v>
      </c>
      <c r="C8" s="6" t="s">
        <v>108</v>
      </c>
      <c r="D8" s="6" t="s">
        <v>108</v>
      </c>
      <c r="E8" s="6" t="s">
        <v>3230</v>
      </c>
      <c r="F8" s="6" t="s">
        <v>143</v>
      </c>
      <c r="G8" s="10" t="b">
        <f aca="false">TRUE()</f>
        <v>1</v>
      </c>
      <c r="H8" s="6" t="s">
        <v>136</v>
      </c>
      <c r="I8" s="6" t="s">
        <v>137</v>
      </c>
      <c r="J8" s="6" t="s">
        <v>39</v>
      </c>
      <c r="K8" s="7" t="n">
        <v>1999</v>
      </c>
      <c r="L8" s="6" t="s">
        <v>3231</v>
      </c>
      <c r="M8" s="6" t="s">
        <v>92</v>
      </c>
    </row>
    <row r="9" customFormat="false" ht="15" hidden="false" customHeight="false" outlineLevel="0" collapsed="false">
      <c r="A9" s="6" t="s">
        <v>107</v>
      </c>
      <c r="B9" s="6" t="s">
        <v>100</v>
      </c>
      <c r="C9" s="6" t="s">
        <v>108</v>
      </c>
      <c r="D9" s="6" t="s">
        <v>108</v>
      </c>
      <c r="E9" s="6"/>
      <c r="F9" s="6" t="s">
        <v>109</v>
      </c>
      <c r="G9" s="10" t="b">
        <f aca="false">TRUE()</f>
        <v>1</v>
      </c>
      <c r="H9" s="6" t="s">
        <v>101</v>
      </c>
      <c r="I9" s="6" t="s">
        <v>102</v>
      </c>
      <c r="J9" s="6" t="s">
        <v>39</v>
      </c>
      <c r="K9" s="7" t="n">
        <v>2499</v>
      </c>
      <c r="L9" s="6" t="s">
        <v>105</v>
      </c>
      <c r="M9" s="6" t="s">
        <v>92</v>
      </c>
    </row>
    <row r="10" customFormat="false" ht="15" hidden="false" customHeight="false" outlineLevel="0" collapsed="false">
      <c r="A10" s="6" t="s">
        <v>916</v>
      </c>
      <c r="B10" s="6" t="s">
        <v>911</v>
      </c>
      <c r="C10" s="6" t="s">
        <v>108</v>
      </c>
      <c r="D10" s="6" t="s">
        <v>108</v>
      </c>
      <c r="E10" s="6" t="s">
        <v>3232</v>
      </c>
      <c r="F10" s="6" t="s">
        <v>917</v>
      </c>
      <c r="G10" s="10" t="b">
        <f aca="false">TRUE()</f>
        <v>1</v>
      </c>
      <c r="H10" s="6" t="s">
        <v>912</v>
      </c>
      <c r="I10" s="6" t="s">
        <v>913</v>
      </c>
      <c r="J10" s="6" t="s">
        <v>39</v>
      </c>
      <c r="K10" s="7" t="n">
        <v>5000</v>
      </c>
      <c r="L10" s="6" t="s">
        <v>3233</v>
      </c>
      <c r="M10" s="6" t="s">
        <v>92</v>
      </c>
    </row>
    <row r="11" customFormat="false" ht="15" hidden="false" customHeight="false" outlineLevel="0" collapsed="false">
      <c r="A11" s="6" t="s">
        <v>1112</v>
      </c>
      <c r="B11" s="6" t="s">
        <v>1106</v>
      </c>
      <c r="C11" s="6" t="s">
        <v>108</v>
      </c>
      <c r="D11" s="6" t="s">
        <v>108</v>
      </c>
      <c r="E11" s="6" t="s">
        <v>3234</v>
      </c>
      <c r="F11" s="6" t="s">
        <v>1113</v>
      </c>
      <c r="G11" s="10" t="b">
        <f aca="false">TRUE()</f>
        <v>1</v>
      </c>
      <c r="H11" s="6" t="s">
        <v>1107</v>
      </c>
      <c r="I11" s="6" t="s">
        <v>1108</v>
      </c>
      <c r="J11" s="6" t="s">
        <v>39</v>
      </c>
      <c r="K11" s="7" t="n">
        <v>2499</v>
      </c>
      <c r="L11" s="6" t="s">
        <v>3235</v>
      </c>
      <c r="M11" s="6" t="s">
        <v>92</v>
      </c>
    </row>
    <row r="12" customFormat="false" ht="15" hidden="false" customHeight="false" outlineLevel="0" collapsed="false">
      <c r="A12" s="6" t="s">
        <v>1128</v>
      </c>
      <c r="B12" s="6" t="s">
        <v>1122</v>
      </c>
      <c r="C12" s="6" t="s">
        <v>108</v>
      </c>
      <c r="D12" s="6" t="s">
        <v>108</v>
      </c>
      <c r="E12" s="6" t="s">
        <v>3234</v>
      </c>
      <c r="F12" s="6" t="s">
        <v>1129</v>
      </c>
      <c r="G12" s="10" t="b">
        <f aca="false">TRUE()</f>
        <v>1</v>
      </c>
      <c r="H12" s="6" t="s">
        <v>1123</v>
      </c>
      <c r="I12" s="6" t="s">
        <v>1124</v>
      </c>
      <c r="J12" s="6" t="s">
        <v>39</v>
      </c>
      <c r="K12" s="7" t="n">
        <v>1999</v>
      </c>
      <c r="L12" s="6" t="s">
        <v>3236</v>
      </c>
      <c r="M12" s="6" t="s">
        <v>92</v>
      </c>
    </row>
    <row r="13" customFormat="false" ht="15" hidden="false" customHeight="false" outlineLevel="0" collapsed="false">
      <c r="A13" s="6" t="s">
        <v>1120</v>
      </c>
      <c r="B13" s="6" t="s">
        <v>1114</v>
      </c>
      <c r="C13" s="6" t="s">
        <v>108</v>
      </c>
      <c r="D13" s="6" t="s">
        <v>108</v>
      </c>
      <c r="E13" s="6" t="s">
        <v>3234</v>
      </c>
      <c r="F13" s="6" t="s">
        <v>1121</v>
      </c>
      <c r="G13" s="10" t="b">
        <f aca="false">TRUE()</f>
        <v>1</v>
      </c>
      <c r="H13" s="6" t="s">
        <v>1115</v>
      </c>
      <c r="I13" s="6" t="s">
        <v>1116</v>
      </c>
      <c r="J13" s="6" t="s">
        <v>39</v>
      </c>
      <c r="K13" s="7" t="n">
        <v>2499</v>
      </c>
      <c r="L13" s="6" t="s">
        <v>3237</v>
      </c>
      <c r="M13" s="6" t="s">
        <v>92</v>
      </c>
    </row>
    <row r="14" customFormat="false" ht="15" hidden="false" customHeight="false" outlineLevel="0" collapsed="false">
      <c r="A14" s="6" t="s">
        <v>312</v>
      </c>
      <c r="B14" s="6" t="s">
        <v>307</v>
      </c>
      <c r="C14" s="6" t="s">
        <v>108</v>
      </c>
      <c r="D14" s="6" t="s">
        <v>108</v>
      </c>
      <c r="E14" s="6" t="s">
        <v>3224</v>
      </c>
      <c r="F14" s="6" t="s">
        <v>313</v>
      </c>
      <c r="G14" s="10" t="b">
        <f aca="false">TRUE()</f>
        <v>1</v>
      </c>
      <c r="H14" s="6" t="s">
        <v>308</v>
      </c>
      <c r="I14" s="6" t="s">
        <v>309</v>
      </c>
      <c r="J14" s="6" t="s">
        <v>39</v>
      </c>
      <c r="K14" s="7" t="n">
        <v>2499</v>
      </c>
      <c r="L14" s="6" t="s">
        <v>3238</v>
      </c>
      <c r="M14" s="6" t="s">
        <v>92</v>
      </c>
    </row>
    <row r="15" customFormat="false" ht="15" hidden="false" customHeight="false" outlineLevel="0" collapsed="false">
      <c r="A15" s="6" t="s">
        <v>794</v>
      </c>
      <c r="B15" s="6" t="s">
        <v>788</v>
      </c>
      <c r="C15" s="6" t="s">
        <v>108</v>
      </c>
      <c r="D15" s="6" t="s">
        <v>108</v>
      </c>
      <c r="E15" s="6" t="s">
        <v>3232</v>
      </c>
      <c r="F15" s="6" t="s">
        <v>795</v>
      </c>
      <c r="G15" s="10" t="b">
        <f aca="false">TRUE()</f>
        <v>1</v>
      </c>
      <c r="H15" s="6" t="s">
        <v>789</v>
      </c>
      <c r="I15" s="6" t="s">
        <v>790</v>
      </c>
      <c r="J15" s="6" t="s">
        <v>39</v>
      </c>
      <c r="K15" s="7" t="n">
        <v>1999</v>
      </c>
      <c r="L15" s="6" t="s">
        <v>3239</v>
      </c>
      <c r="M15" s="6" t="s">
        <v>92</v>
      </c>
    </row>
    <row r="16" customFormat="false" ht="15" hidden="false" customHeight="false" outlineLevel="0" collapsed="false">
      <c r="A16" s="6" t="s">
        <v>786</v>
      </c>
      <c r="B16" s="6" t="s">
        <v>780</v>
      </c>
      <c r="C16" s="6" t="s">
        <v>108</v>
      </c>
      <c r="D16" s="6" t="s">
        <v>108</v>
      </c>
      <c r="E16" s="6" t="s">
        <v>3234</v>
      </c>
      <c r="F16" s="6" t="s">
        <v>787</v>
      </c>
      <c r="G16" s="10" t="b">
        <f aca="false">TRUE()</f>
        <v>1</v>
      </c>
      <c r="H16" s="6" t="s">
        <v>781</v>
      </c>
      <c r="I16" s="6" t="s">
        <v>782</v>
      </c>
      <c r="J16" s="6" t="s">
        <v>39</v>
      </c>
      <c r="K16" s="7" t="n">
        <v>1999</v>
      </c>
      <c r="L16" s="6" t="s">
        <v>3240</v>
      </c>
      <c r="M16" s="6" t="s">
        <v>92</v>
      </c>
    </row>
    <row r="17" customFormat="false" ht="15" hidden="false" customHeight="false" outlineLevel="0" collapsed="false">
      <c r="A17" s="6" t="s">
        <v>125</v>
      </c>
      <c r="B17" s="6" t="s">
        <v>119</v>
      </c>
      <c r="C17" s="6" t="s">
        <v>108</v>
      </c>
      <c r="D17" s="6" t="s">
        <v>108</v>
      </c>
      <c r="E17" s="6" t="s">
        <v>3224</v>
      </c>
      <c r="F17" s="6" t="s">
        <v>126</v>
      </c>
      <c r="G17" s="10" t="b">
        <f aca="false">TRUE()</f>
        <v>1</v>
      </c>
      <c r="H17" s="6" t="s">
        <v>120</v>
      </c>
      <c r="I17" s="6" t="s">
        <v>121</v>
      </c>
      <c r="J17" s="6" t="s">
        <v>39</v>
      </c>
      <c r="K17" s="7" t="n">
        <v>2499</v>
      </c>
      <c r="L17" s="6" t="s">
        <v>3241</v>
      </c>
      <c r="M17" s="6" t="s">
        <v>92</v>
      </c>
    </row>
    <row r="18" customFormat="false" ht="15" hidden="false" customHeight="false" outlineLevel="0" collapsed="false">
      <c r="A18" s="6" t="s">
        <v>320</v>
      </c>
      <c r="B18" s="6" t="s">
        <v>314</v>
      </c>
      <c r="C18" s="6" t="s">
        <v>108</v>
      </c>
      <c r="D18" s="6" t="s">
        <v>108</v>
      </c>
      <c r="E18" s="6" t="s">
        <v>3224</v>
      </c>
      <c r="F18" s="6" t="s">
        <v>321</v>
      </c>
      <c r="G18" s="10" t="b">
        <f aca="false">TRUE()</f>
        <v>1</v>
      </c>
      <c r="H18" s="6" t="s">
        <v>315</v>
      </c>
      <c r="I18" s="6" t="s">
        <v>316</v>
      </c>
      <c r="J18" s="6" t="s">
        <v>39</v>
      </c>
      <c r="K18" s="7" t="n">
        <v>1999</v>
      </c>
      <c r="L18" s="6" t="s">
        <v>3242</v>
      </c>
      <c r="M18" s="6" t="s">
        <v>92</v>
      </c>
    </row>
    <row r="19" customFormat="false" ht="15" hidden="false" customHeight="false" outlineLevel="0" collapsed="false">
      <c r="A19" s="6" t="s">
        <v>133</v>
      </c>
      <c r="B19" s="6" t="s">
        <v>127</v>
      </c>
      <c r="C19" s="6" t="s">
        <v>108</v>
      </c>
      <c r="D19" s="6" t="s">
        <v>108</v>
      </c>
      <c r="E19" s="6" t="s">
        <v>3224</v>
      </c>
      <c r="F19" s="6" t="s">
        <v>134</v>
      </c>
      <c r="G19" s="10" t="b">
        <f aca="false">TRUE()</f>
        <v>1</v>
      </c>
      <c r="H19" s="6" t="s">
        <v>128</v>
      </c>
      <c r="I19" s="6" t="s">
        <v>129</v>
      </c>
      <c r="J19" s="6" t="s">
        <v>39</v>
      </c>
      <c r="K19" s="7" t="n">
        <v>1999</v>
      </c>
      <c r="L19" s="6" t="s">
        <v>3243</v>
      </c>
      <c r="M19" s="6" t="s">
        <v>92</v>
      </c>
    </row>
    <row r="20" customFormat="false" ht="15" hidden="false" customHeight="false" outlineLevel="0" collapsed="false">
      <c r="A20" s="6" t="s">
        <v>151</v>
      </c>
      <c r="B20" s="6" t="s">
        <v>144</v>
      </c>
      <c r="C20" s="6" t="s">
        <v>108</v>
      </c>
      <c r="D20" s="6" t="s">
        <v>108</v>
      </c>
      <c r="E20" s="6" t="s">
        <v>3244</v>
      </c>
      <c r="F20" s="6" t="s">
        <v>152</v>
      </c>
      <c r="G20" s="10" t="b">
        <f aca="false">TRUE()</f>
        <v>1</v>
      </c>
      <c r="H20" s="6" t="s">
        <v>145</v>
      </c>
      <c r="I20" s="6" t="s">
        <v>146</v>
      </c>
      <c r="J20" s="6" t="s">
        <v>39</v>
      </c>
      <c r="K20" s="7" t="n">
        <v>1999</v>
      </c>
      <c r="L20" s="6" t="s">
        <v>3245</v>
      </c>
      <c r="M20" s="6" t="s">
        <v>92</v>
      </c>
    </row>
    <row r="21" customFormat="false" ht="15" hidden="false" customHeight="false" outlineLevel="0" collapsed="false">
      <c r="A21" s="6" t="s">
        <v>930</v>
      </c>
      <c r="B21" s="6" t="s">
        <v>924</v>
      </c>
      <c r="C21" s="6" t="s">
        <v>108</v>
      </c>
      <c r="D21" s="6" t="s">
        <v>108</v>
      </c>
      <c r="E21" s="6"/>
      <c r="F21" s="6" t="s">
        <v>931</v>
      </c>
      <c r="G21" s="10" t="b">
        <f aca="false">TRUE()</f>
        <v>1</v>
      </c>
      <c r="H21" s="6" t="s">
        <v>925</v>
      </c>
      <c r="I21" s="6" t="s">
        <v>926</v>
      </c>
      <c r="J21" s="6" t="s">
        <v>39</v>
      </c>
      <c r="K21" s="7" t="n">
        <v>2499</v>
      </c>
      <c r="L21" s="6" t="s">
        <v>3246</v>
      </c>
      <c r="M21" s="6" t="s">
        <v>92</v>
      </c>
    </row>
    <row r="22" customFormat="false" ht="15" hidden="false" customHeight="false" outlineLevel="0" collapsed="false">
      <c r="A22" s="6" t="s">
        <v>160</v>
      </c>
      <c r="B22" s="6" t="s">
        <v>153</v>
      </c>
      <c r="C22" s="6" t="s">
        <v>108</v>
      </c>
      <c r="D22" s="6" t="s">
        <v>108</v>
      </c>
      <c r="E22" s="6" t="s">
        <v>3247</v>
      </c>
      <c r="F22" s="6" t="s">
        <v>161</v>
      </c>
      <c r="G22" s="10" t="b">
        <f aca="false">TRUE()</f>
        <v>1</v>
      </c>
      <c r="H22" s="6" t="s">
        <v>154</v>
      </c>
      <c r="I22" s="6" t="s">
        <v>155</v>
      </c>
      <c r="J22" s="6" t="s">
        <v>39</v>
      </c>
      <c r="K22" s="7" t="n">
        <v>5000</v>
      </c>
      <c r="L22" s="6" t="s">
        <v>3248</v>
      </c>
      <c r="M22" s="6" t="s">
        <v>92</v>
      </c>
    </row>
    <row r="23" customFormat="false" ht="15" hidden="false" customHeight="false" outlineLevel="0" collapsed="false">
      <c r="A23" s="6" t="s">
        <v>945</v>
      </c>
      <c r="B23" s="6" t="s">
        <v>939</v>
      </c>
      <c r="C23" s="6" t="s">
        <v>108</v>
      </c>
      <c r="D23" s="6" t="s">
        <v>108</v>
      </c>
      <c r="E23" s="6" t="s">
        <v>3230</v>
      </c>
      <c r="F23" s="6" t="s">
        <v>946</v>
      </c>
      <c r="G23" s="10" t="b">
        <f aca="false">TRUE()</f>
        <v>1</v>
      </c>
      <c r="H23" s="6" t="s">
        <v>940</v>
      </c>
      <c r="I23" s="6" t="s">
        <v>941</v>
      </c>
      <c r="J23" s="6" t="s">
        <v>39</v>
      </c>
      <c r="K23" s="7" t="n">
        <v>4499</v>
      </c>
      <c r="L23" s="6" t="s">
        <v>3249</v>
      </c>
      <c r="M23" s="6" t="s">
        <v>92</v>
      </c>
    </row>
    <row r="24" customFormat="false" ht="15" hidden="false" customHeight="false" outlineLevel="0" collapsed="false">
      <c r="A24" s="6" t="s">
        <v>725</v>
      </c>
      <c r="B24" s="6" t="s">
        <v>3250</v>
      </c>
      <c r="C24" s="6" t="s">
        <v>108</v>
      </c>
      <c r="D24" s="6" t="s">
        <v>108</v>
      </c>
      <c r="E24" s="6" t="s">
        <v>3224</v>
      </c>
      <c r="F24" s="6" t="s">
        <v>726</v>
      </c>
      <c r="G24" s="10" t="b">
        <f aca="false">TRUE()</f>
        <v>1</v>
      </c>
      <c r="H24" s="6" t="s">
        <v>721</v>
      </c>
      <c r="I24" s="6" t="s">
        <v>722</v>
      </c>
      <c r="J24" s="6" t="s">
        <v>39</v>
      </c>
      <c r="K24" s="7" t="n">
        <v>1999</v>
      </c>
      <c r="L24" s="6" t="s">
        <v>3251</v>
      </c>
      <c r="M24" s="6" t="s">
        <v>92</v>
      </c>
    </row>
    <row r="25" customFormat="false" ht="15" hidden="false" customHeight="false" outlineLevel="0" collapsed="false">
      <c r="A25" s="6" t="s">
        <v>718</v>
      </c>
      <c r="B25" s="6" t="s">
        <v>713</v>
      </c>
      <c r="C25" s="6" t="s">
        <v>108</v>
      </c>
      <c r="D25" s="6" t="s">
        <v>108</v>
      </c>
      <c r="E25" s="6" t="s">
        <v>3224</v>
      </c>
      <c r="F25" s="6" t="s">
        <v>719</v>
      </c>
      <c r="G25" s="10" t="b">
        <f aca="false">TRUE()</f>
        <v>1</v>
      </c>
      <c r="H25" s="6" t="s">
        <v>714</v>
      </c>
      <c r="I25" s="6" t="s">
        <v>715</v>
      </c>
      <c r="J25" s="6" t="s">
        <v>39</v>
      </c>
      <c r="K25" s="7" t="n">
        <v>1999</v>
      </c>
      <c r="L25" s="6" t="s">
        <v>3252</v>
      </c>
      <c r="M25" s="6" t="s">
        <v>92</v>
      </c>
    </row>
    <row r="26" customFormat="false" ht="15" hidden="false" customHeight="false" outlineLevel="0" collapsed="false">
      <c r="A26" s="6" t="s">
        <v>371</v>
      </c>
      <c r="B26" s="6" t="s">
        <v>365</v>
      </c>
      <c r="C26" s="6" t="s">
        <v>108</v>
      </c>
      <c r="D26" s="6" t="s">
        <v>108</v>
      </c>
      <c r="E26" s="6" t="s">
        <v>3224</v>
      </c>
      <c r="F26" s="6" t="s">
        <v>372</v>
      </c>
      <c r="G26" s="10" t="b">
        <f aca="false">TRUE()</f>
        <v>1</v>
      </c>
      <c r="H26" s="6" t="s">
        <v>366</v>
      </c>
      <c r="I26" s="6" t="s">
        <v>367</v>
      </c>
      <c r="J26" s="6" t="s">
        <v>39</v>
      </c>
      <c r="K26" s="7" t="n">
        <v>2499</v>
      </c>
      <c r="L26" s="6" t="s">
        <v>3253</v>
      </c>
      <c r="M26" s="6" t="s">
        <v>92</v>
      </c>
    </row>
    <row r="27" customFormat="false" ht="15" hidden="false" customHeight="false" outlineLevel="0" collapsed="false">
      <c r="A27" s="6" t="s">
        <v>694</v>
      </c>
      <c r="B27" s="6" t="s">
        <v>689</v>
      </c>
      <c r="C27" s="6" t="s">
        <v>108</v>
      </c>
      <c r="D27" s="6" t="s">
        <v>108</v>
      </c>
      <c r="E27" s="6"/>
      <c r="F27" s="6" t="s">
        <v>695</v>
      </c>
      <c r="G27" s="10" t="b">
        <f aca="false">TRUE()</f>
        <v>1</v>
      </c>
      <c r="H27" s="6" t="s">
        <v>690</v>
      </c>
      <c r="I27" s="6" t="s">
        <v>691</v>
      </c>
      <c r="J27" s="6" t="s">
        <v>39</v>
      </c>
      <c r="K27" s="7" t="n">
        <v>5600</v>
      </c>
      <c r="L27" s="6" t="s">
        <v>692</v>
      </c>
      <c r="M27" s="6" t="s">
        <v>92</v>
      </c>
    </row>
    <row r="28" customFormat="false" ht="15" hidden="false" customHeight="false" outlineLevel="0" collapsed="false">
      <c r="A28" s="6" t="s">
        <v>680</v>
      </c>
      <c r="B28" s="6" t="s">
        <v>675</v>
      </c>
      <c r="C28" s="6" t="s">
        <v>108</v>
      </c>
      <c r="D28" s="6" t="s">
        <v>108</v>
      </c>
      <c r="E28" s="6" t="s">
        <v>3244</v>
      </c>
      <c r="F28" s="6" t="s">
        <v>681</v>
      </c>
      <c r="G28" s="10" t="b">
        <f aca="false">TRUE()</f>
        <v>1</v>
      </c>
      <c r="H28" s="6" t="s">
        <v>676</v>
      </c>
      <c r="I28" s="6" t="s">
        <v>677</v>
      </c>
      <c r="J28" s="6" t="s">
        <v>39</v>
      </c>
      <c r="K28" s="7" t="n">
        <v>3999</v>
      </c>
      <c r="L28" s="6" t="s">
        <v>678</v>
      </c>
      <c r="M28" s="6" t="s">
        <v>92</v>
      </c>
    </row>
    <row r="29" customFormat="false" ht="15" hidden="false" customHeight="false" outlineLevel="0" collapsed="false">
      <c r="A29" s="6" t="s">
        <v>687</v>
      </c>
      <c r="B29" s="6" t="s">
        <v>3254</v>
      </c>
      <c r="C29" s="6" t="s">
        <v>108</v>
      </c>
      <c r="D29" s="6" t="s">
        <v>108</v>
      </c>
      <c r="E29" s="6" t="s">
        <v>3244</v>
      </c>
      <c r="F29" s="6" t="s">
        <v>688</v>
      </c>
      <c r="G29" s="10" t="b">
        <f aca="false">TRUE()</f>
        <v>1</v>
      </c>
      <c r="H29" s="6" t="s">
        <v>683</v>
      </c>
      <c r="I29" s="6" t="s">
        <v>684</v>
      </c>
      <c r="J29" s="6" t="s">
        <v>39</v>
      </c>
      <c r="K29" s="7" t="n">
        <v>1999</v>
      </c>
      <c r="L29" s="6" t="s">
        <v>3255</v>
      </c>
      <c r="M29" s="6" t="s">
        <v>92</v>
      </c>
    </row>
    <row r="30" customFormat="false" ht="15" hidden="false" customHeight="false" outlineLevel="0" collapsed="false">
      <c r="A30" s="6" t="s">
        <v>408</v>
      </c>
      <c r="B30" s="6" t="s">
        <v>403</v>
      </c>
      <c r="C30" s="6" t="s">
        <v>108</v>
      </c>
      <c r="D30" s="6" t="s">
        <v>108</v>
      </c>
      <c r="E30" s="6" t="s">
        <v>3224</v>
      </c>
      <c r="F30" s="6" t="s">
        <v>409</v>
      </c>
      <c r="G30" s="10" t="b">
        <f aca="false">TRUE()</f>
        <v>1</v>
      </c>
      <c r="H30" s="6" t="s">
        <v>404</v>
      </c>
      <c r="I30" s="6" t="s">
        <v>405</v>
      </c>
      <c r="J30" s="6" t="s">
        <v>39</v>
      </c>
      <c r="K30" s="7" t="n">
        <v>1999</v>
      </c>
      <c r="L30" s="6" t="s">
        <v>3256</v>
      </c>
      <c r="M30" s="6" t="s">
        <v>92</v>
      </c>
    </row>
    <row r="31" customFormat="false" ht="15" hidden="false" customHeight="false" outlineLevel="0" collapsed="false">
      <c r="A31" s="6" t="s">
        <v>673</v>
      </c>
      <c r="B31" s="6" t="s">
        <v>668</v>
      </c>
      <c r="C31" s="6" t="s">
        <v>108</v>
      </c>
      <c r="D31" s="6" t="s">
        <v>108</v>
      </c>
      <c r="E31" s="6" t="s">
        <v>3244</v>
      </c>
      <c r="F31" s="6" t="s">
        <v>674</v>
      </c>
      <c r="G31" s="10" t="b">
        <f aca="false">TRUE()</f>
        <v>1</v>
      </c>
      <c r="H31" s="6" t="s">
        <v>669</v>
      </c>
      <c r="I31" s="6" t="s">
        <v>670</v>
      </c>
      <c r="J31" s="6" t="s">
        <v>39</v>
      </c>
      <c r="K31" s="7" t="n">
        <v>1999</v>
      </c>
      <c r="L31" s="6" t="s">
        <v>3257</v>
      </c>
      <c r="M31" s="6" t="s">
        <v>92</v>
      </c>
    </row>
    <row r="32" customFormat="false" ht="15" hidden="false" customHeight="false" outlineLevel="0" collapsed="false">
      <c r="A32" s="6" t="s">
        <v>415</v>
      </c>
      <c r="B32" s="6" t="s">
        <v>410</v>
      </c>
      <c r="C32" s="6" t="s">
        <v>108</v>
      </c>
      <c r="D32" s="6" t="s">
        <v>108</v>
      </c>
      <c r="E32" s="6" t="s">
        <v>3230</v>
      </c>
      <c r="F32" s="6" t="s">
        <v>416</v>
      </c>
      <c r="G32" s="10" t="b">
        <f aca="false">TRUE()</f>
        <v>1</v>
      </c>
      <c r="H32" s="6" t="s">
        <v>411</v>
      </c>
      <c r="I32" s="6" t="s">
        <v>412</v>
      </c>
      <c r="J32" s="6" t="s">
        <v>39</v>
      </c>
      <c r="K32" s="7" t="n">
        <v>5000</v>
      </c>
      <c r="L32" s="6" t="s">
        <v>3258</v>
      </c>
      <c r="M32" s="6" t="s">
        <v>92</v>
      </c>
    </row>
    <row r="33" customFormat="false" ht="15" hidden="false" customHeight="false" outlineLevel="0" collapsed="false">
      <c r="A33" s="6" t="s">
        <v>1238</v>
      </c>
      <c r="B33" s="6" t="s">
        <v>1231</v>
      </c>
      <c r="C33" s="6" t="s">
        <v>108</v>
      </c>
      <c r="D33" s="6" t="s">
        <v>108</v>
      </c>
      <c r="E33" s="6" t="s">
        <v>3259</v>
      </c>
      <c r="F33" s="6" t="s">
        <v>1239</v>
      </c>
      <c r="G33" s="10" t="b">
        <f aca="false">TRUE()</f>
        <v>1</v>
      </c>
      <c r="H33" s="6" t="s">
        <v>1232</v>
      </c>
      <c r="I33" s="6" t="s">
        <v>1233</v>
      </c>
      <c r="J33" s="6" t="s">
        <v>39</v>
      </c>
      <c r="K33" s="7" t="n">
        <v>5000</v>
      </c>
      <c r="L33" s="6" t="s">
        <v>3260</v>
      </c>
      <c r="M33" s="6" t="s">
        <v>92</v>
      </c>
    </row>
    <row r="34" customFormat="false" ht="15" hidden="false" customHeight="false" outlineLevel="0" collapsed="false">
      <c r="A34" s="6" t="s">
        <v>968</v>
      </c>
      <c r="B34" s="6" t="s">
        <v>962</v>
      </c>
      <c r="C34" s="6" t="s">
        <v>108</v>
      </c>
      <c r="D34" s="6" t="s">
        <v>108</v>
      </c>
      <c r="E34" s="6" t="s">
        <v>3261</v>
      </c>
      <c r="F34" s="6" t="s">
        <v>969</v>
      </c>
      <c r="G34" s="10" t="b">
        <f aca="false">TRUE()</f>
        <v>1</v>
      </c>
      <c r="H34" s="6" t="s">
        <v>963</v>
      </c>
      <c r="I34" s="6" t="s">
        <v>964</v>
      </c>
      <c r="J34" s="6" t="s">
        <v>39</v>
      </c>
      <c r="K34" s="7" t="n">
        <v>5000</v>
      </c>
      <c r="L34" s="6" t="s">
        <v>3262</v>
      </c>
      <c r="M34" s="6" t="s">
        <v>92</v>
      </c>
    </row>
    <row r="35" customFormat="false" ht="15" hidden="false" customHeight="false" outlineLevel="0" collapsed="false">
      <c r="A35" s="6" t="s">
        <v>543</v>
      </c>
      <c r="B35" s="6" t="s">
        <v>538</v>
      </c>
      <c r="C35" s="6" t="s">
        <v>108</v>
      </c>
      <c r="D35" s="6" t="s">
        <v>108</v>
      </c>
      <c r="E35" s="6" t="s">
        <v>3224</v>
      </c>
      <c r="F35" s="6" t="s">
        <v>544</v>
      </c>
      <c r="G35" s="10" t="b">
        <f aca="false">TRUE()</f>
        <v>1</v>
      </c>
      <c r="H35" s="6" t="s">
        <v>539</v>
      </c>
      <c r="I35" s="6" t="s">
        <v>540</v>
      </c>
      <c r="J35" s="6" t="s">
        <v>39</v>
      </c>
      <c r="K35" s="7" t="n">
        <v>5000</v>
      </c>
      <c r="L35" s="6" t="s">
        <v>3263</v>
      </c>
      <c r="M35" s="6" t="s">
        <v>92</v>
      </c>
    </row>
    <row r="36" customFormat="false" ht="15" hidden="false" customHeight="false" outlineLevel="0" collapsed="false">
      <c r="A36" s="6" t="s">
        <v>1136</v>
      </c>
      <c r="B36" s="6" t="s">
        <v>1130</v>
      </c>
      <c r="C36" s="6" t="s">
        <v>108</v>
      </c>
      <c r="D36" s="6" t="s">
        <v>108</v>
      </c>
      <c r="E36" s="6" t="s">
        <v>3259</v>
      </c>
      <c r="F36" s="6" t="s">
        <v>1137</v>
      </c>
      <c r="G36" s="10" t="b">
        <f aca="false">TRUE()</f>
        <v>1</v>
      </c>
      <c r="H36" s="6" t="s">
        <v>1131</v>
      </c>
      <c r="I36" s="6" t="s">
        <v>1132</v>
      </c>
      <c r="J36" s="6" t="s">
        <v>39</v>
      </c>
      <c r="K36" s="7" t="n">
        <v>5000</v>
      </c>
      <c r="L36" s="6" t="s">
        <v>3264</v>
      </c>
      <c r="M36" s="6" t="s">
        <v>92</v>
      </c>
    </row>
    <row r="37" customFormat="false" ht="15" hidden="false" customHeight="false" outlineLevel="0" collapsed="false">
      <c r="A37" s="6" t="s">
        <v>659</v>
      </c>
      <c r="B37" s="6" t="s">
        <v>653</v>
      </c>
      <c r="C37" s="6" t="s">
        <v>108</v>
      </c>
      <c r="D37" s="6" t="s">
        <v>108</v>
      </c>
      <c r="E37" s="6" t="s">
        <v>3244</v>
      </c>
      <c r="F37" s="6" t="s">
        <v>660</v>
      </c>
      <c r="G37" s="10" t="b">
        <f aca="false">TRUE()</f>
        <v>1</v>
      </c>
      <c r="H37" s="6" t="s">
        <v>654</v>
      </c>
      <c r="I37" s="6" t="s">
        <v>655</v>
      </c>
      <c r="J37" s="6" t="s">
        <v>39</v>
      </c>
      <c r="K37" s="7" t="n">
        <v>6999</v>
      </c>
      <c r="L37" s="6" t="s">
        <v>3265</v>
      </c>
      <c r="M37" s="6" t="s">
        <v>92</v>
      </c>
    </row>
    <row r="38" customFormat="false" ht="15" hidden="false" customHeight="false" outlineLevel="0" collapsed="false">
      <c r="A38" s="6" t="s">
        <v>651</v>
      </c>
      <c r="B38" s="6" t="s">
        <v>644</v>
      </c>
      <c r="C38" s="6" t="s">
        <v>108</v>
      </c>
      <c r="D38" s="6" t="s">
        <v>108</v>
      </c>
      <c r="E38" s="6" t="s">
        <v>3244</v>
      </c>
      <c r="F38" s="6" t="s">
        <v>652</v>
      </c>
      <c r="G38" s="10" t="b">
        <f aca="false">TRUE()</f>
        <v>1</v>
      </c>
      <c r="H38" s="6" t="s">
        <v>645</v>
      </c>
      <c r="I38" s="6" t="s">
        <v>646</v>
      </c>
      <c r="J38" s="6" t="s">
        <v>39</v>
      </c>
      <c r="K38" s="7" t="n">
        <v>7999</v>
      </c>
      <c r="L38" s="6" t="s">
        <v>648</v>
      </c>
      <c r="M38" s="6" t="s">
        <v>92</v>
      </c>
    </row>
    <row r="39" customFormat="false" ht="15" hidden="false" customHeight="false" outlineLevel="0" collapsed="false">
      <c r="A39" s="6" t="s">
        <v>3266</v>
      </c>
      <c r="B39" s="6" t="s">
        <v>3267</v>
      </c>
      <c r="C39" s="6" t="s">
        <v>108</v>
      </c>
      <c r="D39" s="6" t="s">
        <v>108</v>
      </c>
      <c r="E39" s="6" t="s">
        <v>3244</v>
      </c>
      <c r="F39" s="6" t="s">
        <v>3268</v>
      </c>
      <c r="G39" s="9" t="b">
        <f aca="false">FALSE()</f>
        <v>0</v>
      </c>
      <c r="H39" s="6"/>
      <c r="I39" s="6"/>
      <c r="J39" s="6"/>
      <c r="K39" s="6"/>
      <c r="L39" s="6"/>
      <c r="M39" s="6" t="s">
        <v>3269</v>
      </c>
    </row>
    <row r="40" customFormat="false" ht="15" hidden="false" customHeight="false" outlineLevel="0" collapsed="false">
      <c r="A40" s="6" t="s">
        <v>998</v>
      </c>
      <c r="B40" s="6" t="s">
        <v>992</v>
      </c>
      <c r="C40" s="6" t="s">
        <v>108</v>
      </c>
      <c r="D40" s="6" t="s">
        <v>108</v>
      </c>
      <c r="E40" s="6" t="s">
        <v>3232</v>
      </c>
      <c r="F40" s="6" t="s">
        <v>999</v>
      </c>
      <c r="G40" s="10" t="b">
        <f aca="false">TRUE()</f>
        <v>1</v>
      </c>
      <c r="H40" s="6" t="s">
        <v>993</v>
      </c>
      <c r="I40" s="6" t="s">
        <v>994</v>
      </c>
      <c r="J40" s="6" t="s">
        <v>39</v>
      </c>
      <c r="K40" s="7" t="n">
        <v>2499</v>
      </c>
      <c r="L40" s="6" t="s">
        <v>3270</v>
      </c>
      <c r="M40" s="6" t="s">
        <v>92</v>
      </c>
    </row>
    <row r="41" customFormat="false" ht="15" hidden="false" customHeight="false" outlineLevel="0" collapsed="false">
      <c r="A41" s="6" t="s">
        <v>557</v>
      </c>
      <c r="B41" s="6" t="s">
        <v>552</v>
      </c>
      <c r="C41" s="6" t="s">
        <v>108</v>
      </c>
      <c r="D41" s="6" t="s">
        <v>108</v>
      </c>
      <c r="E41" s="6"/>
      <c r="F41" s="6" t="s">
        <v>558</v>
      </c>
      <c r="G41" s="10" t="b">
        <f aca="false">TRUE()</f>
        <v>1</v>
      </c>
      <c r="H41" s="6" t="s">
        <v>553</v>
      </c>
      <c r="I41" s="6" t="s">
        <v>554</v>
      </c>
      <c r="J41" s="6" t="s">
        <v>39</v>
      </c>
      <c r="K41" s="7" t="n">
        <v>5000</v>
      </c>
      <c r="L41" s="6" t="s">
        <v>3271</v>
      </c>
      <c r="M41" s="6" t="s">
        <v>92</v>
      </c>
    </row>
    <row r="42" customFormat="false" ht="15" hidden="false" customHeight="false" outlineLevel="0" collapsed="false">
      <c r="A42" s="6" t="s">
        <v>1005</v>
      </c>
      <c r="B42" s="6" t="s">
        <v>1000</v>
      </c>
      <c r="C42" s="6" t="s">
        <v>108</v>
      </c>
      <c r="D42" s="6" t="s">
        <v>108</v>
      </c>
      <c r="E42" s="6"/>
      <c r="F42" s="6" t="s">
        <v>1006</v>
      </c>
      <c r="G42" s="10" t="b">
        <f aca="false">TRUE()</f>
        <v>1</v>
      </c>
      <c r="H42" s="6" t="s">
        <v>1001</v>
      </c>
      <c r="I42" s="6" t="s">
        <v>1002</v>
      </c>
      <c r="J42" s="6" t="s">
        <v>39</v>
      </c>
      <c r="K42" s="7" t="n">
        <v>2499</v>
      </c>
      <c r="L42" s="6" t="s">
        <v>3272</v>
      </c>
      <c r="M42" s="6" t="s">
        <v>92</v>
      </c>
    </row>
    <row r="43" customFormat="false" ht="15" hidden="false" customHeight="false" outlineLevel="0" collapsed="false">
      <c r="A43" s="6" t="s">
        <v>226</v>
      </c>
      <c r="B43" s="6" t="s">
        <v>219</v>
      </c>
      <c r="C43" s="6" t="s">
        <v>108</v>
      </c>
      <c r="D43" s="6" t="s">
        <v>108</v>
      </c>
      <c r="E43" s="6"/>
      <c r="F43" s="6" t="s">
        <v>227</v>
      </c>
      <c r="G43" s="10" t="b">
        <f aca="false">TRUE()</f>
        <v>1</v>
      </c>
      <c r="H43" s="6" t="s">
        <v>220</v>
      </c>
      <c r="I43" s="6" t="s">
        <v>221</v>
      </c>
      <c r="J43" s="6" t="s">
        <v>39</v>
      </c>
      <c r="K43" s="7" t="n">
        <v>1999</v>
      </c>
      <c r="L43" s="6" t="s">
        <v>3273</v>
      </c>
      <c r="M43" s="6" t="s">
        <v>92</v>
      </c>
    </row>
    <row r="44" customFormat="false" ht="15" hidden="false" customHeight="false" outlineLevel="0" collapsed="false">
      <c r="A44" s="6" t="s">
        <v>1195</v>
      </c>
      <c r="B44" s="6" t="s">
        <v>1189</v>
      </c>
      <c r="C44" s="6" t="s">
        <v>108</v>
      </c>
      <c r="D44" s="6" t="s">
        <v>108</v>
      </c>
      <c r="E44" s="6" t="s">
        <v>3259</v>
      </c>
      <c r="F44" s="6" t="s">
        <v>1196</v>
      </c>
      <c r="G44" s="10" t="b">
        <f aca="false">TRUE()</f>
        <v>1</v>
      </c>
      <c r="H44" s="6" t="s">
        <v>1190</v>
      </c>
      <c r="I44" s="6" t="s">
        <v>1191</v>
      </c>
      <c r="J44" s="6" t="s">
        <v>39</v>
      </c>
      <c r="K44" s="7" t="n">
        <v>2499</v>
      </c>
      <c r="L44" s="6" t="s">
        <v>3274</v>
      </c>
      <c r="M44" s="6" t="s">
        <v>92</v>
      </c>
    </row>
    <row r="45" customFormat="false" ht="15" hidden="false" customHeight="false" outlineLevel="0" collapsed="false">
      <c r="A45" s="6" t="s">
        <v>611</v>
      </c>
      <c r="B45" s="6" t="s">
        <v>606</v>
      </c>
      <c r="C45" s="6" t="s">
        <v>108</v>
      </c>
      <c r="D45" s="6" t="s">
        <v>108</v>
      </c>
      <c r="E45" s="6" t="s">
        <v>3224</v>
      </c>
      <c r="F45" s="6" t="s">
        <v>612</v>
      </c>
      <c r="G45" s="10" t="b">
        <f aca="false">TRUE()</f>
        <v>1</v>
      </c>
      <c r="H45" s="6" t="s">
        <v>607</v>
      </c>
      <c r="I45" s="6" t="s">
        <v>608</v>
      </c>
      <c r="J45" s="6" t="s">
        <v>39</v>
      </c>
      <c r="K45" s="7" t="n">
        <v>1999</v>
      </c>
      <c r="L45" s="6" t="s">
        <v>3275</v>
      </c>
      <c r="M45" s="6" t="s">
        <v>92</v>
      </c>
    </row>
    <row r="46" customFormat="false" ht="15" hidden="false" customHeight="false" outlineLevel="0" collapsed="false">
      <c r="A46" s="6" t="s">
        <v>604</v>
      </c>
      <c r="B46" s="6" t="s">
        <v>3276</v>
      </c>
      <c r="C46" s="6" t="s">
        <v>108</v>
      </c>
      <c r="D46" s="6" t="s">
        <v>108</v>
      </c>
      <c r="E46" s="6" t="s">
        <v>3247</v>
      </c>
      <c r="F46" s="6" t="s">
        <v>605</v>
      </c>
      <c r="G46" s="10" t="b">
        <f aca="false">TRUE()</f>
        <v>1</v>
      </c>
      <c r="H46" s="6" t="s">
        <v>599</v>
      </c>
      <c r="I46" s="6" t="s">
        <v>600</v>
      </c>
      <c r="J46" s="6" t="s">
        <v>39</v>
      </c>
      <c r="K46" s="7" t="n">
        <v>5999</v>
      </c>
      <c r="L46" s="6" t="s">
        <v>3277</v>
      </c>
      <c r="M46" s="6" t="s">
        <v>92</v>
      </c>
    </row>
    <row r="47" customFormat="false" ht="15" hidden="false" customHeight="false" outlineLevel="0" collapsed="false">
      <c r="A47" s="6" t="s">
        <v>1221</v>
      </c>
      <c r="B47" s="6" t="s">
        <v>1214</v>
      </c>
      <c r="C47" s="6" t="s">
        <v>108</v>
      </c>
      <c r="D47" s="6" t="s">
        <v>108</v>
      </c>
      <c r="E47" s="6" t="s">
        <v>3232</v>
      </c>
      <c r="F47" s="6" t="s">
        <v>1222</v>
      </c>
      <c r="G47" s="10" t="b">
        <f aca="false">TRUE()</f>
        <v>1</v>
      </c>
      <c r="H47" s="6" t="s">
        <v>1215</v>
      </c>
      <c r="I47" s="6" t="s">
        <v>1216</v>
      </c>
      <c r="J47" s="6" t="s">
        <v>39</v>
      </c>
      <c r="K47" s="7" t="n">
        <v>1799</v>
      </c>
      <c r="L47" s="6" t="s">
        <v>3278</v>
      </c>
      <c r="M47" s="6" t="s">
        <v>92</v>
      </c>
    </row>
    <row r="48" customFormat="false" ht="15" hidden="false" customHeight="false" outlineLevel="0" collapsed="false">
      <c r="A48" s="6" t="s">
        <v>248</v>
      </c>
      <c r="B48" s="6" t="s">
        <v>243</v>
      </c>
      <c r="C48" s="6" t="s">
        <v>108</v>
      </c>
      <c r="D48" s="6" t="s">
        <v>108</v>
      </c>
      <c r="E48" s="6" t="s">
        <v>3224</v>
      </c>
      <c r="F48" s="6" t="s">
        <v>249</v>
      </c>
      <c r="G48" s="10" t="b">
        <f aca="false">TRUE()</f>
        <v>1</v>
      </c>
      <c r="H48" s="6" t="s">
        <v>244</v>
      </c>
      <c r="I48" s="6" t="s">
        <v>245</v>
      </c>
      <c r="J48" s="6" t="s">
        <v>39</v>
      </c>
      <c r="K48" s="7" t="n">
        <v>1999</v>
      </c>
      <c r="L48" s="6" t="s">
        <v>3279</v>
      </c>
      <c r="M48" s="6" t="s">
        <v>92</v>
      </c>
    </row>
    <row r="49" customFormat="false" ht="15" hidden="false" customHeight="false" outlineLevel="0" collapsed="false">
      <c r="A49" s="6" t="s">
        <v>1229</v>
      </c>
      <c r="B49" s="6" t="s">
        <v>1223</v>
      </c>
      <c r="C49" s="6" t="s">
        <v>108</v>
      </c>
      <c r="D49" s="6" t="s">
        <v>108</v>
      </c>
      <c r="E49" s="6" t="s">
        <v>3280</v>
      </c>
      <c r="F49" s="6" t="s">
        <v>1230</v>
      </c>
      <c r="G49" s="10" t="b">
        <f aca="false">TRUE()</f>
        <v>1</v>
      </c>
      <c r="H49" s="6" t="s">
        <v>1224</v>
      </c>
      <c r="I49" s="6" t="s">
        <v>1225</v>
      </c>
      <c r="J49" s="6" t="s">
        <v>39</v>
      </c>
      <c r="K49" s="7" t="n">
        <v>1999</v>
      </c>
      <c r="L49" s="6" t="s">
        <v>3281</v>
      </c>
      <c r="M49" s="6" t="s">
        <v>92</v>
      </c>
    </row>
    <row r="50" customFormat="false" ht="15" hidden="false" customHeight="false" outlineLevel="0" collapsed="false">
      <c r="A50" s="6" t="s">
        <v>486</v>
      </c>
      <c r="B50" s="6" t="s">
        <v>480</v>
      </c>
      <c r="C50" s="6" t="s">
        <v>108</v>
      </c>
      <c r="D50" s="6" t="s">
        <v>108</v>
      </c>
      <c r="E50" s="6" t="s">
        <v>3224</v>
      </c>
      <c r="F50" s="6" t="s">
        <v>487</v>
      </c>
      <c r="G50" s="10" t="b">
        <f aca="false">TRUE()</f>
        <v>1</v>
      </c>
      <c r="H50" s="6" t="s">
        <v>481</v>
      </c>
      <c r="I50" s="6" t="s">
        <v>482</v>
      </c>
      <c r="J50" s="6" t="s">
        <v>39</v>
      </c>
      <c r="K50" s="7" t="n">
        <v>2999</v>
      </c>
      <c r="L50" s="6" t="s">
        <v>3282</v>
      </c>
      <c r="M50" s="6" t="s">
        <v>92</v>
      </c>
    </row>
    <row r="51" customFormat="false" ht="15" hidden="false" customHeight="false" outlineLevel="0" collapsed="false">
      <c r="A51" s="6" t="s">
        <v>589</v>
      </c>
      <c r="B51" s="6" t="s">
        <v>3283</v>
      </c>
      <c r="C51" s="6" t="s">
        <v>108</v>
      </c>
      <c r="D51" s="6" t="s">
        <v>108</v>
      </c>
      <c r="E51" s="6"/>
      <c r="F51" s="6" t="s">
        <v>590</v>
      </c>
      <c r="G51" s="10" t="b">
        <f aca="false">TRUE()</f>
        <v>1</v>
      </c>
      <c r="H51" s="6" t="s">
        <v>585</v>
      </c>
      <c r="I51" s="6" t="s">
        <v>586</v>
      </c>
      <c r="J51" s="6" t="s">
        <v>39</v>
      </c>
      <c r="K51" s="7" t="n">
        <v>1999</v>
      </c>
      <c r="L51" s="6" t="s">
        <v>3284</v>
      </c>
      <c r="M51" s="6" t="s">
        <v>92</v>
      </c>
    </row>
    <row r="52" customFormat="false" ht="15" hidden="false" customHeight="false" outlineLevel="0" collapsed="false">
      <c r="A52" s="6" t="s">
        <v>1161</v>
      </c>
      <c r="B52" s="6" t="s">
        <v>1155</v>
      </c>
      <c r="C52" s="6" t="s">
        <v>108</v>
      </c>
      <c r="D52" s="6" t="s">
        <v>108</v>
      </c>
      <c r="E52" s="6" t="s">
        <v>3285</v>
      </c>
      <c r="F52" s="6" t="s">
        <v>1162</v>
      </c>
      <c r="G52" s="10" t="b">
        <f aca="false">TRUE()</f>
        <v>1</v>
      </c>
      <c r="H52" s="6" t="s">
        <v>1156</v>
      </c>
      <c r="I52" s="6" t="s">
        <v>1157</v>
      </c>
      <c r="J52" s="6" t="s">
        <v>39</v>
      </c>
      <c r="K52" s="7" t="n">
        <v>5000</v>
      </c>
      <c r="L52" s="6" t="s">
        <v>3286</v>
      </c>
      <c r="M52" s="6" t="s">
        <v>92</v>
      </c>
    </row>
    <row r="53" customFormat="false" ht="15" hidden="false" customHeight="false" outlineLevel="0" collapsed="false">
      <c r="A53" s="6" t="s">
        <v>909</v>
      </c>
      <c r="B53" s="6" t="s">
        <v>3287</v>
      </c>
      <c r="C53" s="6" t="s">
        <v>108</v>
      </c>
      <c r="D53" s="6" t="s">
        <v>108</v>
      </c>
      <c r="E53" s="6"/>
      <c r="F53" s="6" t="s">
        <v>910</v>
      </c>
      <c r="G53" s="10" t="b">
        <f aca="false">TRUE()</f>
        <v>1</v>
      </c>
      <c r="H53" s="6" t="s">
        <v>904</v>
      </c>
      <c r="I53" s="6" t="s">
        <v>905</v>
      </c>
      <c r="J53" s="6" t="s">
        <v>39</v>
      </c>
      <c r="K53" s="7" t="n">
        <v>5600</v>
      </c>
      <c r="L53" s="6" t="s">
        <v>907</v>
      </c>
      <c r="M53" s="6" t="s">
        <v>92</v>
      </c>
    </row>
    <row r="54" customFormat="false" ht="15" hidden="false" customHeight="false" outlineLevel="0" collapsed="false">
      <c r="A54" s="6" t="s">
        <v>975</v>
      </c>
      <c r="B54" s="6" t="s">
        <v>3288</v>
      </c>
      <c r="C54" s="6" t="s">
        <v>108</v>
      </c>
      <c r="D54" s="6" t="s">
        <v>108</v>
      </c>
      <c r="E54" s="6"/>
      <c r="F54" s="6" t="s">
        <v>976</v>
      </c>
      <c r="G54" s="10" t="b">
        <f aca="false">TRUE()</f>
        <v>1</v>
      </c>
      <c r="H54" s="6" t="s">
        <v>971</v>
      </c>
      <c r="I54" s="6" t="s">
        <v>972</v>
      </c>
      <c r="J54" s="6" t="s">
        <v>39</v>
      </c>
      <c r="K54" s="7" t="n">
        <v>1499</v>
      </c>
      <c r="L54" s="6" t="s">
        <v>3289</v>
      </c>
      <c r="M54" s="6" t="s">
        <v>92</v>
      </c>
    </row>
    <row r="55" customFormat="false" ht="15" hidden="false" customHeight="false" outlineLevel="0" collapsed="false">
      <c r="A55" s="6" t="s">
        <v>2076</v>
      </c>
      <c r="B55" s="6" t="s">
        <v>2070</v>
      </c>
      <c r="C55" s="6" t="s">
        <v>108</v>
      </c>
      <c r="D55" s="6" t="s">
        <v>108</v>
      </c>
      <c r="E55" s="6" t="s">
        <v>3244</v>
      </c>
      <c r="F55" s="6" t="s">
        <v>2077</v>
      </c>
      <c r="G55" s="10" t="b">
        <f aca="false">TRUE()</f>
        <v>1</v>
      </c>
      <c r="H55" s="6" t="s">
        <v>2071</v>
      </c>
      <c r="I55" s="6" t="s">
        <v>2072</v>
      </c>
      <c r="J55" s="6" t="s">
        <v>39</v>
      </c>
      <c r="K55" s="7" t="n">
        <v>5000</v>
      </c>
      <c r="L55" s="6" t="s">
        <v>3290</v>
      </c>
      <c r="M55" s="6" t="s">
        <v>92</v>
      </c>
    </row>
    <row r="56" customFormat="false" ht="15" hidden="false" customHeight="false" outlineLevel="0" collapsed="false">
      <c r="A56" s="6" t="s">
        <v>2084</v>
      </c>
      <c r="B56" s="6" t="s">
        <v>2078</v>
      </c>
      <c r="C56" s="6" t="s">
        <v>108</v>
      </c>
      <c r="D56" s="6" t="s">
        <v>108</v>
      </c>
      <c r="E56" s="6" t="s">
        <v>3244</v>
      </c>
      <c r="F56" s="6" t="s">
        <v>2085</v>
      </c>
      <c r="G56" s="10" t="b">
        <f aca="false">TRUE()</f>
        <v>1</v>
      </c>
      <c r="H56" s="6" t="s">
        <v>2079</v>
      </c>
      <c r="I56" s="6" t="s">
        <v>2080</v>
      </c>
      <c r="J56" s="6" t="s">
        <v>39</v>
      </c>
      <c r="K56" s="7" t="n">
        <v>5000</v>
      </c>
      <c r="L56" s="6" t="s">
        <v>3291</v>
      </c>
      <c r="M56" s="6" t="s">
        <v>92</v>
      </c>
    </row>
    <row r="57" customFormat="false" ht="15" hidden="false" customHeight="false" outlineLevel="0" collapsed="false">
      <c r="A57" s="6" t="s">
        <v>265</v>
      </c>
      <c r="B57" s="6" t="s">
        <v>257</v>
      </c>
      <c r="C57" s="6" t="s">
        <v>108</v>
      </c>
      <c r="D57" s="6" t="s">
        <v>108</v>
      </c>
      <c r="E57" s="6" t="s">
        <v>3261</v>
      </c>
      <c r="F57" s="6" t="s">
        <v>266</v>
      </c>
      <c r="G57" s="10" t="b">
        <f aca="false">TRUE()</f>
        <v>1</v>
      </c>
      <c r="H57" s="6" t="s">
        <v>258</v>
      </c>
      <c r="I57" s="6" t="s">
        <v>259</v>
      </c>
      <c r="J57" s="6" t="s">
        <v>39</v>
      </c>
      <c r="K57" s="7" t="n">
        <v>2999</v>
      </c>
      <c r="L57" s="6" t="s">
        <v>3292</v>
      </c>
      <c r="M57" s="6" t="s">
        <v>92</v>
      </c>
    </row>
    <row r="58" customFormat="false" ht="15" hidden="false" customHeight="false" outlineLevel="0" collapsed="false">
      <c r="A58" s="6" t="s">
        <v>753</v>
      </c>
      <c r="B58" s="6" t="s">
        <v>747</v>
      </c>
      <c r="C58" s="6" t="s">
        <v>108</v>
      </c>
      <c r="D58" s="6" t="s">
        <v>108</v>
      </c>
      <c r="E58" s="6"/>
      <c r="F58" s="6" t="s">
        <v>754</v>
      </c>
      <c r="G58" s="10" t="b">
        <f aca="false">TRUE()</f>
        <v>1</v>
      </c>
      <c r="H58" s="6" t="s">
        <v>748</v>
      </c>
      <c r="I58" s="6" t="s">
        <v>749</v>
      </c>
      <c r="J58" s="6" t="s">
        <v>39</v>
      </c>
      <c r="K58" s="7" t="n">
        <v>1999</v>
      </c>
      <c r="L58" s="6" t="s">
        <v>3293</v>
      </c>
      <c r="M58" s="6" t="s">
        <v>92</v>
      </c>
    </row>
    <row r="59" customFormat="false" ht="15" hidden="false" customHeight="false" outlineLevel="0" collapsed="false">
      <c r="A59" s="6" t="s">
        <v>273</v>
      </c>
      <c r="B59" s="6" t="s">
        <v>267</v>
      </c>
      <c r="C59" s="6" t="s">
        <v>108</v>
      </c>
      <c r="D59" s="6" t="s">
        <v>108</v>
      </c>
      <c r="E59" s="6"/>
      <c r="F59" s="6" t="s">
        <v>274</v>
      </c>
      <c r="G59" s="10" t="b">
        <f aca="false">TRUE()</f>
        <v>1</v>
      </c>
      <c r="H59" s="6" t="s">
        <v>268</v>
      </c>
      <c r="I59" s="6" t="s">
        <v>269</v>
      </c>
      <c r="J59" s="6" t="s">
        <v>39</v>
      </c>
      <c r="K59" s="7" t="n">
        <v>1499</v>
      </c>
      <c r="L59" s="6" t="s">
        <v>3294</v>
      </c>
      <c r="M59" s="6" t="s">
        <v>92</v>
      </c>
    </row>
    <row r="60" customFormat="false" ht="15" hidden="false" customHeight="false" outlineLevel="0" collapsed="false">
      <c r="A60" s="6" t="s">
        <v>281</v>
      </c>
      <c r="B60" s="6" t="s">
        <v>276</v>
      </c>
      <c r="C60" s="6" t="s">
        <v>108</v>
      </c>
      <c r="D60" s="6" t="s">
        <v>108</v>
      </c>
      <c r="E60" s="6"/>
      <c r="F60" s="6" t="s">
        <v>282</v>
      </c>
      <c r="G60" s="10" t="b">
        <f aca="false">TRUE()</f>
        <v>1</v>
      </c>
      <c r="H60" s="6" t="s">
        <v>276</v>
      </c>
      <c r="I60" s="6" t="s">
        <v>277</v>
      </c>
      <c r="J60" s="6" t="s">
        <v>39</v>
      </c>
      <c r="K60" s="7" t="n">
        <v>3499</v>
      </c>
      <c r="L60" s="6" t="s">
        <v>279</v>
      </c>
      <c r="M60" s="6" t="s">
        <v>92</v>
      </c>
    </row>
    <row r="61" customFormat="false" ht="15" hidden="false" customHeight="false" outlineLevel="0" collapsed="false">
      <c r="A61" s="6" t="s">
        <v>745</v>
      </c>
      <c r="B61" s="6" t="s">
        <v>739</v>
      </c>
      <c r="C61" s="6" t="s">
        <v>108</v>
      </c>
      <c r="D61" s="6" t="s">
        <v>108</v>
      </c>
      <c r="E61" s="6"/>
      <c r="F61" s="6" t="s">
        <v>746</v>
      </c>
      <c r="G61" s="10" t="b">
        <f aca="false">TRUE()</f>
        <v>1</v>
      </c>
      <c r="H61" s="6" t="s">
        <v>740</v>
      </c>
      <c r="I61" s="6" t="s">
        <v>741</v>
      </c>
      <c r="J61" s="6" t="s">
        <v>39</v>
      </c>
      <c r="K61" s="7" t="n">
        <v>4499</v>
      </c>
      <c r="L61" s="6" t="s">
        <v>3295</v>
      </c>
      <c r="M61" s="6" t="s">
        <v>92</v>
      </c>
    </row>
    <row r="62" customFormat="false" ht="15" hidden="false" customHeight="false" outlineLevel="0" collapsed="false">
      <c r="A62" s="6" t="s">
        <v>288</v>
      </c>
      <c r="B62" s="6" t="s">
        <v>3296</v>
      </c>
      <c r="C62" s="6" t="s">
        <v>108</v>
      </c>
      <c r="D62" s="6" t="s">
        <v>108</v>
      </c>
      <c r="E62" s="6" t="s">
        <v>3224</v>
      </c>
      <c r="F62" s="6" t="s">
        <v>289</v>
      </c>
      <c r="G62" s="10" t="b">
        <f aca="false">TRUE()</f>
        <v>1</v>
      </c>
      <c r="H62" s="6" t="s">
        <v>284</v>
      </c>
      <c r="I62" s="6" t="s">
        <v>285</v>
      </c>
      <c r="J62" s="6" t="s">
        <v>39</v>
      </c>
      <c r="K62" s="7" t="n">
        <v>1999</v>
      </c>
      <c r="L62" s="6" t="s">
        <v>3297</v>
      </c>
      <c r="M62" s="6" t="s">
        <v>92</v>
      </c>
    </row>
    <row r="63" customFormat="false" ht="15" hidden="false" customHeight="false" outlineLevel="0" collapsed="false">
      <c r="A63" s="6" t="s">
        <v>117</v>
      </c>
      <c r="B63" s="6" t="s">
        <v>110</v>
      </c>
      <c r="C63" s="6" t="s">
        <v>108</v>
      </c>
      <c r="D63" s="6" t="s">
        <v>108</v>
      </c>
      <c r="E63" s="6"/>
      <c r="F63" s="6" t="s">
        <v>118</v>
      </c>
      <c r="G63" s="10" t="b">
        <f aca="false">TRUE()</f>
        <v>1</v>
      </c>
      <c r="H63" s="6" t="s">
        <v>111</v>
      </c>
      <c r="I63" s="6" t="s">
        <v>112</v>
      </c>
      <c r="J63" s="6" t="s">
        <v>39</v>
      </c>
      <c r="K63" s="7" t="n">
        <v>1999</v>
      </c>
      <c r="L63" s="6" t="s">
        <v>3298</v>
      </c>
      <c r="M63" s="6" t="s">
        <v>92</v>
      </c>
    </row>
    <row r="64" customFormat="false" ht="15" hidden="false" customHeight="false" outlineLevel="0" collapsed="false">
      <c r="A64" s="6" t="s">
        <v>296</v>
      </c>
      <c r="B64" s="6" t="s">
        <v>3299</v>
      </c>
      <c r="C64" s="6" t="s">
        <v>108</v>
      </c>
      <c r="D64" s="6" t="s">
        <v>108</v>
      </c>
      <c r="E64" s="6" t="s">
        <v>3232</v>
      </c>
      <c r="F64" s="6" t="s">
        <v>297</v>
      </c>
      <c r="G64" s="10" t="b">
        <f aca="false">TRUE()</f>
        <v>1</v>
      </c>
      <c r="H64" s="6" t="s">
        <v>291</v>
      </c>
      <c r="I64" s="6" t="s">
        <v>292</v>
      </c>
      <c r="J64" s="6" t="s">
        <v>39</v>
      </c>
      <c r="K64" s="7" t="n">
        <v>2499</v>
      </c>
      <c r="L64" s="6" t="s">
        <v>3300</v>
      </c>
      <c r="M64" s="6" t="s">
        <v>92</v>
      </c>
    </row>
    <row r="65" customFormat="false" ht="15" hidden="false" customHeight="false" outlineLevel="0" collapsed="false">
      <c r="A65" s="6" t="s">
        <v>778</v>
      </c>
      <c r="B65" s="6" t="s">
        <v>772</v>
      </c>
      <c r="C65" s="6" t="s">
        <v>108</v>
      </c>
      <c r="D65" s="6" t="s">
        <v>108</v>
      </c>
      <c r="E65" s="6" t="s">
        <v>3261</v>
      </c>
      <c r="F65" s="6" t="s">
        <v>779</v>
      </c>
      <c r="G65" s="10" t="b">
        <f aca="false">TRUE()</f>
        <v>1</v>
      </c>
      <c r="H65" s="6" t="s">
        <v>773</v>
      </c>
      <c r="I65" s="6" t="s">
        <v>774</v>
      </c>
      <c r="J65" s="6" t="s">
        <v>39</v>
      </c>
      <c r="K65" s="7" t="n">
        <v>2499</v>
      </c>
      <c r="L65" s="6" t="s">
        <v>3301</v>
      </c>
      <c r="M65" s="6" t="s">
        <v>92</v>
      </c>
    </row>
    <row r="66" customFormat="false" ht="15" hidden="false" customHeight="false" outlineLevel="0" collapsed="false">
      <c r="A66" s="6" t="s">
        <v>305</v>
      </c>
      <c r="B66" s="6" t="s">
        <v>298</v>
      </c>
      <c r="C66" s="6" t="s">
        <v>108</v>
      </c>
      <c r="D66" s="6" t="s">
        <v>108</v>
      </c>
      <c r="E66" s="6" t="s">
        <v>3232</v>
      </c>
      <c r="F66" s="6" t="s">
        <v>306</v>
      </c>
      <c r="G66" s="10" t="b">
        <f aca="false">TRUE()</f>
        <v>1</v>
      </c>
      <c r="H66" s="6" t="s">
        <v>299</v>
      </c>
      <c r="I66" s="6" t="s">
        <v>300</v>
      </c>
      <c r="J66" s="6" t="s">
        <v>39</v>
      </c>
      <c r="K66" s="7" t="n">
        <v>2499</v>
      </c>
      <c r="L66" s="6" t="s">
        <v>3302</v>
      </c>
      <c r="M66" s="6" t="s">
        <v>92</v>
      </c>
    </row>
    <row r="67" customFormat="false" ht="15" hidden="false" customHeight="false" outlineLevel="0" collapsed="false">
      <c r="A67" s="6" t="s">
        <v>500</v>
      </c>
      <c r="B67" s="6" t="s">
        <v>495</v>
      </c>
      <c r="C67" s="6" t="s">
        <v>108</v>
      </c>
      <c r="D67" s="6" t="s">
        <v>108</v>
      </c>
      <c r="E67" s="6"/>
      <c r="F67" s="6" t="s">
        <v>501</v>
      </c>
      <c r="G67" s="10" t="b">
        <f aca="false">TRUE()</f>
        <v>1</v>
      </c>
      <c r="H67" s="6" t="s">
        <v>496</v>
      </c>
      <c r="I67" s="6" t="s">
        <v>497</v>
      </c>
      <c r="J67" s="6" t="s">
        <v>39</v>
      </c>
      <c r="K67" s="7" t="n">
        <v>1999</v>
      </c>
      <c r="L67" s="6" t="s">
        <v>3303</v>
      </c>
      <c r="M67" s="6" t="s">
        <v>92</v>
      </c>
    </row>
    <row r="68" customFormat="false" ht="15" hidden="false" customHeight="false" outlineLevel="0" collapsed="false">
      <c r="A68" s="6" t="s">
        <v>508</v>
      </c>
      <c r="B68" s="6" t="s">
        <v>3304</v>
      </c>
      <c r="C68" s="6" t="s">
        <v>108</v>
      </c>
      <c r="D68" s="6" t="s">
        <v>108</v>
      </c>
      <c r="E68" s="6" t="s">
        <v>3224</v>
      </c>
      <c r="F68" s="6" t="s">
        <v>509</v>
      </c>
      <c r="G68" s="10" t="b">
        <f aca="false">TRUE()</f>
        <v>1</v>
      </c>
      <c r="H68" s="6" t="s">
        <v>503</v>
      </c>
      <c r="I68" s="6" t="s">
        <v>504</v>
      </c>
      <c r="J68" s="6" t="s">
        <v>39</v>
      </c>
      <c r="K68" s="7" t="n">
        <v>4999</v>
      </c>
      <c r="L68" s="6" t="s">
        <v>3305</v>
      </c>
      <c r="M68" s="6" t="s">
        <v>92</v>
      </c>
    </row>
    <row r="69" customFormat="false" ht="15" hidden="false" customHeight="false" outlineLevel="0" collapsed="false">
      <c r="A69" s="6" t="s">
        <v>737</v>
      </c>
      <c r="B69" s="6" t="s">
        <v>3306</v>
      </c>
      <c r="C69" s="6" t="s">
        <v>108</v>
      </c>
      <c r="D69" s="6" t="s">
        <v>108</v>
      </c>
      <c r="E69" s="6" t="s">
        <v>3224</v>
      </c>
      <c r="F69" s="6" t="s">
        <v>738</v>
      </c>
      <c r="G69" s="10" t="b">
        <f aca="false">TRUE()</f>
        <v>1</v>
      </c>
      <c r="H69" s="6" t="s">
        <v>733</v>
      </c>
      <c r="I69" s="6" t="s">
        <v>734</v>
      </c>
      <c r="J69" s="6" t="s">
        <v>39</v>
      </c>
      <c r="K69" s="7" t="n">
        <v>1999</v>
      </c>
      <c r="L69" s="6" t="s">
        <v>3307</v>
      </c>
      <c r="M69" s="6" t="s">
        <v>92</v>
      </c>
    </row>
    <row r="70" customFormat="false" ht="15" hidden="false" customHeight="false" outlineLevel="0" collapsed="false">
      <c r="A70" s="6" t="s">
        <v>802</v>
      </c>
      <c r="B70" s="6" t="s">
        <v>796</v>
      </c>
      <c r="C70" s="6" t="s">
        <v>108</v>
      </c>
      <c r="D70" s="6" t="s">
        <v>108</v>
      </c>
      <c r="E70" s="6"/>
      <c r="F70" s="6" t="s">
        <v>803</v>
      </c>
      <c r="G70" s="10" t="b">
        <f aca="false">TRUE()</f>
        <v>1</v>
      </c>
      <c r="H70" s="6" t="s">
        <v>797</v>
      </c>
      <c r="I70" s="6" t="s">
        <v>798</v>
      </c>
      <c r="J70" s="6" t="s">
        <v>39</v>
      </c>
      <c r="K70" s="7" t="n">
        <v>2499</v>
      </c>
      <c r="L70" s="6" t="s">
        <v>3308</v>
      </c>
      <c r="M70" s="6" t="s">
        <v>92</v>
      </c>
    </row>
    <row r="71" customFormat="false" ht="15" hidden="false" customHeight="false" outlineLevel="0" collapsed="false">
      <c r="A71" s="6" t="s">
        <v>3309</v>
      </c>
      <c r="B71" s="6" t="s">
        <v>136</v>
      </c>
      <c r="C71" s="6" t="s">
        <v>108</v>
      </c>
      <c r="D71" s="6" t="s">
        <v>108</v>
      </c>
      <c r="E71" s="6" t="s">
        <v>3224</v>
      </c>
      <c r="F71" s="6" t="s">
        <v>3310</v>
      </c>
      <c r="G71" s="10" t="b">
        <f aca="false">TRUE()</f>
        <v>1</v>
      </c>
      <c r="H71" s="6" t="s">
        <v>136</v>
      </c>
      <c r="I71" s="6" t="s">
        <v>137</v>
      </c>
      <c r="J71" s="6" t="s">
        <v>39</v>
      </c>
      <c r="K71" s="7" t="n">
        <v>1999</v>
      </c>
      <c r="L71" s="6" t="s">
        <v>3231</v>
      </c>
      <c r="M71" s="6" t="s">
        <v>92</v>
      </c>
    </row>
    <row r="72" customFormat="false" ht="15" hidden="false" customHeight="false" outlineLevel="0" collapsed="false">
      <c r="A72" s="6" t="s">
        <v>327</v>
      </c>
      <c r="B72" s="6" t="s">
        <v>323</v>
      </c>
      <c r="C72" s="6" t="s">
        <v>108</v>
      </c>
      <c r="D72" s="6" t="s">
        <v>108</v>
      </c>
      <c r="E72" s="6" t="s">
        <v>3224</v>
      </c>
      <c r="F72" s="6" t="s">
        <v>328</v>
      </c>
      <c r="G72" s="10" t="b">
        <f aca="false">TRUE()</f>
        <v>1</v>
      </c>
      <c r="H72" s="6" t="s">
        <v>323</v>
      </c>
      <c r="I72" s="6" t="s">
        <v>324</v>
      </c>
      <c r="J72" s="6" t="s">
        <v>39</v>
      </c>
      <c r="K72" s="7" t="n">
        <v>1999</v>
      </c>
      <c r="L72" s="6" t="s">
        <v>3311</v>
      </c>
      <c r="M72" s="6" t="s">
        <v>92</v>
      </c>
    </row>
    <row r="73" customFormat="false" ht="15" hidden="false" customHeight="false" outlineLevel="0" collapsed="false">
      <c r="A73" s="6" t="s">
        <v>3312</v>
      </c>
      <c r="B73" s="6" t="s">
        <v>3313</v>
      </c>
      <c r="C73" s="6" t="s">
        <v>108</v>
      </c>
      <c r="D73" s="6" t="s">
        <v>108</v>
      </c>
      <c r="E73" s="6" t="s">
        <v>3244</v>
      </c>
      <c r="F73" s="6" t="s">
        <v>3314</v>
      </c>
      <c r="G73" s="10" t="b">
        <f aca="false">TRUE()</f>
        <v>1</v>
      </c>
      <c r="H73" s="6" t="s">
        <v>145</v>
      </c>
      <c r="I73" s="6" t="s">
        <v>146</v>
      </c>
      <c r="J73" s="6" t="s">
        <v>39</v>
      </c>
      <c r="K73" s="7" t="n">
        <v>1999</v>
      </c>
      <c r="L73" s="6" t="s">
        <v>3245</v>
      </c>
      <c r="M73" s="6" t="s">
        <v>75</v>
      </c>
    </row>
    <row r="74" customFormat="false" ht="15" hidden="false" customHeight="false" outlineLevel="0" collapsed="false">
      <c r="A74" s="6" t="s">
        <v>937</v>
      </c>
      <c r="B74" s="6" t="s">
        <v>3315</v>
      </c>
      <c r="C74" s="6" t="s">
        <v>108</v>
      </c>
      <c r="D74" s="6" t="s">
        <v>108</v>
      </c>
      <c r="E74" s="6" t="s">
        <v>3261</v>
      </c>
      <c r="F74" s="6" t="s">
        <v>938</v>
      </c>
      <c r="G74" s="10" t="b">
        <f aca="false">TRUE()</f>
        <v>1</v>
      </c>
      <c r="H74" s="6" t="s">
        <v>933</v>
      </c>
      <c r="I74" s="6" t="s">
        <v>934</v>
      </c>
      <c r="J74" s="6" t="s">
        <v>39</v>
      </c>
      <c r="K74" s="7" t="n">
        <v>1499</v>
      </c>
      <c r="L74" s="6" t="s">
        <v>3316</v>
      </c>
      <c r="M74" s="6" t="s">
        <v>75</v>
      </c>
    </row>
    <row r="75" customFormat="false" ht="15" hidden="false" customHeight="false" outlineLevel="0" collapsed="false">
      <c r="A75" s="6" t="s">
        <v>169</v>
      </c>
      <c r="B75" s="6" t="s">
        <v>3317</v>
      </c>
      <c r="C75" s="6" t="s">
        <v>108</v>
      </c>
      <c r="D75" s="6" t="s">
        <v>108</v>
      </c>
      <c r="E75" s="6"/>
      <c r="F75" s="6" t="s">
        <v>170</v>
      </c>
      <c r="G75" s="10" t="b">
        <f aca="false">TRUE()</f>
        <v>1</v>
      </c>
      <c r="H75" s="6" t="s">
        <v>163</v>
      </c>
      <c r="I75" s="6" t="s">
        <v>164</v>
      </c>
      <c r="J75" s="6" t="s">
        <v>39</v>
      </c>
      <c r="K75" s="7" t="n">
        <v>1999</v>
      </c>
      <c r="L75" s="6" t="s">
        <v>3318</v>
      </c>
      <c r="M75" s="6" t="s">
        <v>92</v>
      </c>
    </row>
    <row r="76" customFormat="false" ht="15" hidden="false" customHeight="false" outlineLevel="0" collapsed="false">
      <c r="A76" s="6" t="s">
        <v>953</v>
      </c>
      <c r="B76" s="6" t="s">
        <v>947</v>
      </c>
      <c r="C76" s="6" t="s">
        <v>108</v>
      </c>
      <c r="D76" s="6" t="s">
        <v>108</v>
      </c>
      <c r="E76" s="6" t="s">
        <v>3244</v>
      </c>
      <c r="F76" s="6" t="s">
        <v>954</v>
      </c>
      <c r="G76" s="10" t="b">
        <f aca="false">TRUE()</f>
        <v>1</v>
      </c>
      <c r="H76" s="6" t="s">
        <v>948</v>
      </c>
      <c r="I76" s="6" t="s">
        <v>949</v>
      </c>
      <c r="J76" s="6" t="s">
        <v>39</v>
      </c>
      <c r="K76" s="7" t="n">
        <v>2499</v>
      </c>
      <c r="L76" s="6" t="s">
        <v>3319</v>
      </c>
      <c r="M76" s="6" t="s">
        <v>92</v>
      </c>
    </row>
    <row r="77" customFormat="false" ht="15" hidden="false" customHeight="false" outlineLevel="0" collapsed="false">
      <c r="A77" s="6" t="s">
        <v>176</v>
      </c>
      <c r="B77" s="6" t="s">
        <v>172</v>
      </c>
      <c r="C77" s="6" t="s">
        <v>108</v>
      </c>
      <c r="D77" s="6" t="s">
        <v>108</v>
      </c>
      <c r="E77" s="6" t="s">
        <v>3224</v>
      </c>
      <c r="F77" s="6" t="s">
        <v>177</v>
      </c>
      <c r="G77" s="10" t="b">
        <f aca="false">TRUE()</f>
        <v>1</v>
      </c>
      <c r="H77" s="6" t="s">
        <v>172</v>
      </c>
      <c r="I77" s="6" t="s">
        <v>173</v>
      </c>
      <c r="J77" s="6" t="s">
        <v>39</v>
      </c>
      <c r="K77" s="7" t="n">
        <v>5000</v>
      </c>
      <c r="L77" s="6" t="s">
        <v>3320</v>
      </c>
      <c r="M77" s="6" t="s">
        <v>92</v>
      </c>
    </row>
    <row r="78" customFormat="false" ht="15" hidden="false" customHeight="false" outlineLevel="0" collapsed="false">
      <c r="A78" s="6" t="s">
        <v>334</v>
      </c>
      <c r="B78" s="6" t="s">
        <v>3321</v>
      </c>
      <c r="C78" s="6" t="s">
        <v>108</v>
      </c>
      <c r="D78" s="6" t="s">
        <v>108</v>
      </c>
      <c r="E78" s="6" t="s">
        <v>3224</v>
      </c>
      <c r="F78" s="6" t="s">
        <v>335</v>
      </c>
      <c r="G78" s="10" t="b">
        <f aca="false">TRUE()</f>
        <v>1</v>
      </c>
      <c r="H78" s="6" t="s">
        <v>330</v>
      </c>
      <c r="I78" s="6" t="s">
        <v>331</v>
      </c>
      <c r="J78" s="6" t="s">
        <v>39</v>
      </c>
      <c r="K78" s="7" t="n">
        <v>2499</v>
      </c>
      <c r="L78" s="6" t="s">
        <v>3322</v>
      </c>
      <c r="M78" s="6" t="s">
        <v>92</v>
      </c>
    </row>
    <row r="79" customFormat="false" ht="15" hidden="false" customHeight="false" outlineLevel="0" collapsed="false">
      <c r="A79" s="6" t="s">
        <v>515</v>
      </c>
      <c r="B79" s="6" t="s">
        <v>3323</v>
      </c>
      <c r="C79" s="6" t="s">
        <v>108</v>
      </c>
      <c r="D79" s="6" t="s">
        <v>108</v>
      </c>
      <c r="E79" s="6" t="s">
        <v>3224</v>
      </c>
      <c r="F79" s="6" t="s">
        <v>516</v>
      </c>
      <c r="G79" s="10" t="b">
        <f aca="false">TRUE()</f>
        <v>1</v>
      </c>
      <c r="H79" s="6" t="s">
        <v>511</v>
      </c>
      <c r="I79" s="6" t="s">
        <v>512</v>
      </c>
      <c r="J79" s="6" t="s">
        <v>39</v>
      </c>
      <c r="K79" s="7" t="n">
        <v>1999</v>
      </c>
      <c r="L79" s="6" t="s">
        <v>3324</v>
      </c>
      <c r="M79" s="6" t="s">
        <v>92</v>
      </c>
    </row>
    <row r="80" customFormat="false" ht="15" hidden="false" customHeight="false" outlineLevel="0" collapsed="false">
      <c r="A80" s="6" t="s">
        <v>348</v>
      </c>
      <c r="B80" s="6" t="s">
        <v>3325</v>
      </c>
      <c r="C80" s="6" t="s">
        <v>108</v>
      </c>
      <c r="D80" s="6" t="s">
        <v>108</v>
      </c>
      <c r="E80" s="6" t="s">
        <v>3224</v>
      </c>
      <c r="F80" s="6" t="s">
        <v>349</v>
      </c>
      <c r="G80" s="10" t="b">
        <f aca="false">TRUE()</f>
        <v>1</v>
      </c>
      <c r="H80" s="6" t="s">
        <v>343</v>
      </c>
      <c r="I80" s="6" t="s">
        <v>344</v>
      </c>
      <c r="J80" s="6" t="s">
        <v>39</v>
      </c>
      <c r="K80" s="7" t="n">
        <v>2499</v>
      </c>
      <c r="L80" s="6" t="s">
        <v>3326</v>
      </c>
      <c r="M80" s="6" t="s">
        <v>92</v>
      </c>
    </row>
    <row r="81" customFormat="false" ht="15" hidden="false" customHeight="false" outlineLevel="0" collapsed="false">
      <c r="A81" s="6" t="s">
        <v>522</v>
      </c>
      <c r="B81" s="6" t="s">
        <v>3327</v>
      </c>
      <c r="C81" s="6" t="s">
        <v>108</v>
      </c>
      <c r="D81" s="6" t="s">
        <v>108</v>
      </c>
      <c r="E81" s="6" t="s">
        <v>3224</v>
      </c>
      <c r="F81" s="6" t="s">
        <v>523</v>
      </c>
      <c r="G81" s="10" t="b">
        <f aca="false">TRUE()</f>
        <v>1</v>
      </c>
      <c r="H81" s="6" t="s">
        <v>518</v>
      </c>
      <c r="I81" s="6" t="s">
        <v>519</v>
      </c>
      <c r="J81" s="6" t="s">
        <v>39</v>
      </c>
      <c r="K81" s="7" t="n">
        <v>5000</v>
      </c>
      <c r="L81" s="6" t="s">
        <v>3328</v>
      </c>
      <c r="M81" s="6" t="s">
        <v>92</v>
      </c>
    </row>
    <row r="82" customFormat="false" ht="15" hidden="false" customHeight="false" outlineLevel="0" collapsed="false">
      <c r="A82" s="6" t="s">
        <v>356</v>
      </c>
      <c r="B82" s="6" t="s">
        <v>3329</v>
      </c>
      <c r="C82" s="6" t="s">
        <v>108</v>
      </c>
      <c r="D82" s="6" t="s">
        <v>108</v>
      </c>
      <c r="E82" s="6"/>
      <c r="F82" s="6" t="s">
        <v>357</v>
      </c>
      <c r="G82" s="10" t="b">
        <f aca="false">TRUE()</f>
        <v>1</v>
      </c>
      <c r="H82" s="6" t="s">
        <v>351</v>
      </c>
      <c r="I82" s="6" t="s">
        <v>352</v>
      </c>
      <c r="J82" s="6" t="s">
        <v>39</v>
      </c>
      <c r="K82" s="7" t="n">
        <v>1999</v>
      </c>
      <c r="L82" s="6" t="s">
        <v>3330</v>
      </c>
      <c r="M82" s="6" t="s">
        <v>358</v>
      </c>
    </row>
    <row r="83" customFormat="false" ht="15" hidden="false" customHeight="false" outlineLevel="0" collapsed="false">
      <c r="A83" s="6" t="s">
        <v>811</v>
      </c>
      <c r="B83" s="6" t="s">
        <v>804</v>
      </c>
      <c r="C83" s="6" t="s">
        <v>108</v>
      </c>
      <c r="D83" s="6" t="s">
        <v>108</v>
      </c>
      <c r="E83" s="6"/>
      <c r="F83" s="6" t="s">
        <v>812</v>
      </c>
      <c r="G83" s="10" t="b">
        <f aca="false">TRUE()</f>
        <v>1</v>
      </c>
      <c r="H83" s="6" t="s">
        <v>805</v>
      </c>
      <c r="I83" s="6" t="s">
        <v>806</v>
      </c>
      <c r="J83" s="6" t="s">
        <v>39</v>
      </c>
      <c r="K83" s="7" t="n">
        <v>5000</v>
      </c>
      <c r="L83" s="6" t="s">
        <v>809</v>
      </c>
      <c r="M83" s="6" t="s">
        <v>92</v>
      </c>
    </row>
    <row r="84" customFormat="false" ht="15" hidden="false" customHeight="false" outlineLevel="0" collapsed="false">
      <c r="A84" s="6" t="s">
        <v>711</v>
      </c>
      <c r="B84" s="6" t="s">
        <v>3331</v>
      </c>
      <c r="C84" s="6" t="s">
        <v>108</v>
      </c>
      <c r="D84" s="6" t="s">
        <v>108</v>
      </c>
      <c r="E84" s="6" t="s">
        <v>3259</v>
      </c>
      <c r="F84" s="6" t="s">
        <v>712</v>
      </c>
      <c r="G84" s="10" t="b">
        <f aca="false">TRUE()</f>
        <v>1</v>
      </c>
      <c r="H84" s="6" t="s">
        <v>705</v>
      </c>
      <c r="I84" s="6" t="s">
        <v>706</v>
      </c>
      <c r="J84" s="6" t="s">
        <v>39</v>
      </c>
      <c r="K84" s="7" t="n">
        <v>2999</v>
      </c>
      <c r="L84" s="6" t="s">
        <v>3332</v>
      </c>
      <c r="M84" s="6" t="s">
        <v>92</v>
      </c>
    </row>
    <row r="85" customFormat="false" ht="15" hidden="false" customHeight="false" outlineLevel="0" collapsed="false">
      <c r="A85" s="6" t="s">
        <v>378</v>
      </c>
      <c r="B85" s="6" t="s">
        <v>3333</v>
      </c>
      <c r="C85" s="6" t="s">
        <v>108</v>
      </c>
      <c r="D85" s="6" t="s">
        <v>108</v>
      </c>
      <c r="E85" s="6" t="s">
        <v>3224</v>
      </c>
      <c r="F85" s="6" t="s">
        <v>379</v>
      </c>
      <c r="G85" s="10" t="b">
        <f aca="false">TRUE()</f>
        <v>1</v>
      </c>
      <c r="H85" s="6" t="s">
        <v>374</v>
      </c>
      <c r="I85" s="6" t="s">
        <v>375</v>
      </c>
      <c r="J85" s="6" t="s">
        <v>39</v>
      </c>
      <c r="K85" s="7" t="n">
        <v>2499</v>
      </c>
      <c r="L85" s="6" t="s">
        <v>3334</v>
      </c>
      <c r="M85" s="6" t="s">
        <v>92</v>
      </c>
    </row>
    <row r="86" customFormat="false" ht="15" hidden="false" customHeight="false" outlineLevel="0" collapsed="false">
      <c r="A86" s="6" t="s">
        <v>2046</v>
      </c>
      <c r="B86" s="6" t="s">
        <v>2041</v>
      </c>
      <c r="C86" s="6" t="s">
        <v>108</v>
      </c>
      <c r="D86" s="6" t="s">
        <v>108</v>
      </c>
      <c r="E86" s="6"/>
      <c r="F86" s="6" t="s">
        <v>2047</v>
      </c>
      <c r="G86" s="10" t="b">
        <f aca="false">TRUE()</f>
        <v>1</v>
      </c>
      <c r="H86" s="6" t="s">
        <v>2042</v>
      </c>
      <c r="I86" s="6" t="s">
        <v>2043</v>
      </c>
      <c r="J86" s="6" t="s">
        <v>39</v>
      </c>
      <c r="K86" s="7" t="n">
        <v>3500</v>
      </c>
      <c r="L86" s="6" t="s">
        <v>3335</v>
      </c>
      <c r="M86" s="6" t="s">
        <v>92</v>
      </c>
    </row>
    <row r="87" customFormat="false" ht="15" hidden="false" customHeight="false" outlineLevel="0" collapsed="false">
      <c r="A87" s="6" t="s">
        <v>394</v>
      </c>
      <c r="B87" s="6" t="s">
        <v>3336</v>
      </c>
      <c r="C87" s="6" t="s">
        <v>108</v>
      </c>
      <c r="D87" s="6" t="s">
        <v>108</v>
      </c>
      <c r="E87" s="6" t="s">
        <v>3261</v>
      </c>
      <c r="F87" s="6" t="s">
        <v>395</v>
      </c>
      <c r="G87" s="10" t="b">
        <f aca="false">TRUE()</f>
        <v>1</v>
      </c>
      <c r="H87" s="6" t="s">
        <v>389</v>
      </c>
      <c r="I87" s="6" t="s">
        <v>390</v>
      </c>
      <c r="J87" s="6" t="s">
        <v>39</v>
      </c>
      <c r="K87" s="7" t="n">
        <v>6999</v>
      </c>
      <c r="L87" s="6" t="s">
        <v>3337</v>
      </c>
      <c r="M87" s="6" t="s">
        <v>92</v>
      </c>
    </row>
    <row r="88" customFormat="false" ht="15" hidden="false" customHeight="false" outlineLevel="0" collapsed="false">
      <c r="A88" s="6" t="s">
        <v>960</v>
      </c>
      <c r="B88" s="6" t="s">
        <v>955</v>
      </c>
      <c r="C88" s="6" t="s">
        <v>108</v>
      </c>
      <c r="D88" s="6" t="s">
        <v>108</v>
      </c>
      <c r="E88" s="6"/>
      <c r="F88" s="6" t="s">
        <v>961</v>
      </c>
      <c r="G88" s="10" t="b">
        <f aca="false">TRUE()</f>
        <v>1</v>
      </c>
      <c r="H88" s="6" t="s">
        <v>956</v>
      </c>
      <c r="I88" s="6" t="s">
        <v>957</v>
      </c>
      <c r="J88" s="6" t="s">
        <v>39</v>
      </c>
      <c r="K88" s="7" t="n">
        <v>5600</v>
      </c>
      <c r="L88" s="6" t="s">
        <v>958</v>
      </c>
      <c r="M88" s="6" t="s">
        <v>92</v>
      </c>
    </row>
    <row r="89" customFormat="false" ht="15" hidden="false" customHeight="false" outlineLevel="0" collapsed="false">
      <c r="A89" s="6" t="s">
        <v>819</v>
      </c>
      <c r="B89" s="6" t="s">
        <v>813</v>
      </c>
      <c r="C89" s="6" t="s">
        <v>108</v>
      </c>
      <c r="D89" s="6" t="s">
        <v>108</v>
      </c>
      <c r="E89" s="6"/>
      <c r="F89" s="6" t="s">
        <v>820</v>
      </c>
      <c r="G89" s="10" t="b">
        <f aca="false">TRUE()</f>
        <v>1</v>
      </c>
      <c r="H89" s="6" t="s">
        <v>814</v>
      </c>
      <c r="I89" s="6" t="s">
        <v>815</v>
      </c>
      <c r="J89" s="6" t="s">
        <v>39</v>
      </c>
      <c r="K89" s="7" t="n">
        <v>5999</v>
      </c>
      <c r="L89" s="6" t="s">
        <v>3338</v>
      </c>
      <c r="M89" s="6" t="s">
        <v>92</v>
      </c>
    </row>
    <row r="90" customFormat="false" ht="15" hidden="false" customHeight="false" outlineLevel="0" collapsed="false">
      <c r="A90" s="6" t="s">
        <v>184</v>
      </c>
      <c r="B90" s="6" t="s">
        <v>179</v>
      </c>
      <c r="C90" s="6" t="s">
        <v>108</v>
      </c>
      <c r="D90" s="6" t="s">
        <v>108</v>
      </c>
      <c r="E90" s="6"/>
      <c r="F90" s="6" t="s">
        <v>185</v>
      </c>
      <c r="G90" s="10" t="b">
        <f aca="false">TRUE()</f>
        <v>1</v>
      </c>
      <c r="H90" s="6" t="s">
        <v>179</v>
      </c>
      <c r="I90" s="6" t="s">
        <v>180</v>
      </c>
      <c r="J90" s="6" t="s">
        <v>39</v>
      </c>
      <c r="K90" s="7" t="n">
        <v>2499</v>
      </c>
      <c r="L90" s="6" t="s">
        <v>3339</v>
      </c>
      <c r="M90" s="6" t="s">
        <v>92</v>
      </c>
    </row>
    <row r="91" customFormat="false" ht="15" hidden="false" customHeight="false" outlineLevel="0" collapsed="false">
      <c r="A91" s="6" t="s">
        <v>401</v>
      </c>
      <c r="B91" s="6" t="s">
        <v>3340</v>
      </c>
      <c r="C91" s="6" t="s">
        <v>108</v>
      </c>
      <c r="D91" s="6" t="s">
        <v>108</v>
      </c>
      <c r="E91" s="6" t="s">
        <v>3224</v>
      </c>
      <c r="F91" s="6" t="s">
        <v>402</v>
      </c>
      <c r="G91" s="10" t="b">
        <f aca="false">TRUE()</f>
        <v>1</v>
      </c>
      <c r="H91" s="6" t="s">
        <v>397</v>
      </c>
      <c r="I91" s="6" t="s">
        <v>398</v>
      </c>
      <c r="J91" s="6" t="s">
        <v>39</v>
      </c>
      <c r="K91" s="7" t="n">
        <v>1999</v>
      </c>
      <c r="L91" s="6" t="s">
        <v>3341</v>
      </c>
      <c r="M91" s="6" t="s">
        <v>358</v>
      </c>
    </row>
    <row r="92" customFormat="false" ht="15" hidden="false" customHeight="false" outlineLevel="0" collapsed="false">
      <c r="A92" s="6" t="s">
        <v>529</v>
      </c>
      <c r="B92" s="6" t="s">
        <v>525</v>
      </c>
      <c r="C92" s="6" t="s">
        <v>108</v>
      </c>
      <c r="D92" s="6" t="s">
        <v>108</v>
      </c>
      <c r="E92" s="6" t="s">
        <v>3224</v>
      </c>
      <c r="F92" s="6" t="s">
        <v>530</v>
      </c>
      <c r="G92" s="10" t="b">
        <f aca="false">TRUE()</f>
        <v>1</v>
      </c>
      <c r="H92" s="6" t="s">
        <v>525</v>
      </c>
      <c r="I92" s="6" t="s">
        <v>526</v>
      </c>
      <c r="J92" s="6" t="s">
        <v>39</v>
      </c>
      <c r="K92" s="7" t="n">
        <v>5000</v>
      </c>
      <c r="L92" s="6" t="s">
        <v>3342</v>
      </c>
      <c r="M92" s="6" t="s">
        <v>92</v>
      </c>
    </row>
    <row r="93" customFormat="false" ht="15" hidden="false" customHeight="false" outlineLevel="0" collapsed="false">
      <c r="A93" s="6" t="s">
        <v>193</v>
      </c>
      <c r="B93" s="6" t="s">
        <v>186</v>
      </c>
      <c r="C93" s="6" t="s">
        <v>108</v>
      </c>
      <c r="D93" s="6" t="s">
        <v>108</v>
      </c>
      <c r="E93" s="6" t="s">
        <v>3247</v>
      </c>
      <c r="F93" s="6" t="s">
        <v>194</v>
      </c>
      <c r="G93" s="10" t="b">
        <f aca="false">TRUE()</f>
        <v>1</v>
      </c>
      <c r="H93" s="6" t="s">
        <v>187</v>
      </c>
      <c r="I93" s="6" t="s">
        <v>188</v>
      </c>
      <c r="J93" s="6" t="s">
        <v>39</v>
      </c>
      <c r="K93" s="7" t="n">
        <v>2999</v>
      </c>
      <c r="L93" s="6" t="s">
        <v>3343</v>
      </c>
      <c r="M93" s="6" t="s">
        <v>92</v>
      </c>
    </row>
    <row r="94" customFormat="false" ht="15" hidden="false" customHeight="false" outlineLevel="0" collapsed="false">
      <c r="A94" s="6" t="s">
        <v>2031</v>
      </c>
      <c r="B94" s="6" t="s">
        <v>2024</v>
      </c>
      <c r="C94" s="6" t="s">
        <v>108</v>
      </c>
      <c r="D94" s="6" t="s">
        <v>108</v>
      </c>
      <c r="E94" s="6" t="s">
        <v>3244</v>
      </c>
      <c r="F94" s="6" t="s">
        <v>2032</v>
      </c>
      <c r="G94" s="10" t="b">
        <f aca="false">TRUE()</f>
        <v>1</v>
      </c>
      <c r="H94" s="6" t="s">
        <v>2025</v>
      </c>
      <c r="I94" s="6" t="s">
        <v>2026</v>
      </c>
      <c r="J94" s="6" t="s">
        <v>39</v>
      </c>
      <c r="K94" s="7" t="n">
        <v>3500</v>
      </c>
      <c r="L94" s="6" t="s">
        <v>3344</v>
      </c>
      <c r="M94" s="6" t="s">
        <v>92</v>
      </c>
    </row>
    <row r="95" customFormat="false" ht="15" hidden="false" customHeight="false" outlineLevel="0" collapsed="false">
      <c r="A95" s="6" t="s">
        <v>2039</v>
      </c>
      <c r="B95" s="6" t="s">
        <v>2033</v>
      </c>
      <c r="C95" s="6" t="s">
        <v>108</v>
      </c>
      <c r="D95" s="6" t="s">
        <v>108</v>
      </c>
      <c r="E95" s="6" t="s">
        <v>3244</v>
      </c>
      <c r="F95" s="6" t="s">
        <v>2040</v>
      </c>
      <c r="G95" s="10" t="b">
        <f aca="false">TRUE()</f>
        <v>1</v>
      </c>
      <c r="H95" s="6" t="s">
        <v>2034</v>
      </c>
      <c r="I95" s="6" t="s">
        <v>2035</v>
      </c>
      <c r="J95" s="6" t="s">
        <v>39</v>
      </c>
      <c r="K95" s="7" t="n">
        <v>3500</v>
      </c>
      <c r="L95" s="6" t="s">
        <v>3345</v>
      </c>
      <c r="M95" s="6" t="s">
        <v>92</v>
      </c>
    </row>
    <row r="96" customFormat="false" ht="15" hidden="false" customHeight="false" outlineLevel="0" collapsed="false">
      <c r="A96" s="6" t="s">
        <v>2053</v>
      </c>
      <c r="B96" s="6" t="s">
        <v>2048</v>
      </c>
      <c r="C96" s="6" t="s">
        <v>108</v>
      </c>
      <c r="D96" s="6" t="s">
        <v>108</v>
      </c>
      <c r="E96" s="6" t="s">
        <v>3244</v>
      </c>
      <c r="F96" s="6" t="s">
        <v>2054</v>
      </c>
      <c r="G96" s="10" t="b">
        <f aca="false">TRUE()</f>
        <v>1</v>
      </c>
      <c r="H96" s="6" t="s">
        <v>2049</v>
      </c>
      <c r="I96" s="6" t="s">
        <v>2050</v>
      </c>
      <c r="J96" s="6" t="s">
        <v>39</v>
      </c>
      <c r="K96" s="7" t="n">
        <v>3500</v>
      </c>
      <c r="L96" s="6" t="s">
        <v>3346</v>
      </c>
      <c r="M96" s="6" t="s">
        <v>92</v>
      </c>
    </row>
    <row r="97" customFormat="false" ht="15" hidden="false" customHeight="false" outlineLevel="0" collapsed="false">
      <c r="A97" s="6" t="s">
        <v>2060</v>
      </c>
      <c r="B97" s="6" t="s">
        <v>2055</v>
      </c>
      <c r="C97" s="6" t="s">
        <v>108</v>
      </c>
      <c r="D97" s="6" t="s">
        <v>108</v>
      </c>
      <c r="E97" s="6" t="s">
        <v>3244</v>
      </c>
      <c r="F97" s="6" t="s">
        <v>2061</v>
      </c>
      <c r="G97" s="10" t="b">
        <f aca="false">TRUE()</f>
        <v>1</v>
      </c>
      <c r="H97" s="6" t="s">
        <v>2056</v>
      </c>
      <c r="I97" s="6" t="s">
        <v>2057</v>
      </c>
      <c r="J97" s="6" t="s">
        <v>39</v>
      </c>
      <c r="K97" s="7" t="n">
        <v>3500</v>
      </c>
      <c r="L97" s="6" t="s">
        <v>3347</v>
      </c>
      <c r="M97" s="6" t="s">
        <v>92</v>
      </c>
    </row>
    <row r="98" customFormat="false" ht="15" hidden="false" customHeight="false" outlineLevel="0" collapsed="false">
      <c r="A98" s="6" t="s">
        <v>423</v>
      </c>
      <c r="B98" s="6" t="s">
        <v>417</v>
      </c>
      <c r="C98" s="6" t="s">
        <v>108</v>
      </c>
      <c r="D98" s="6" t="s">
        <v>108</v>
      </c>
      <c r="E98" s="6" t="s">
        <v>3244</v>
      </c>
      <c r="F98" s="6" t="s">
        <v>424</v>
      </c>
      <c r="G98" s="10" t="b">
        <f aca="false">TRUE()</f>
        <v>1</v>
      </c>
      <c r="H98" s="6" t="s">
        <v>418</v>
      </c>
      <c r="I98" s="6" t="s">
        <v>419</v>
      </c>
      <c r="J98" s="6" t="s">
        <v>39</v>
      </c>
      <c r="K98" s="7" t="n">
        <v>2999</v>
      </c>
      <c r="L98" s="6" t="s">
        <v>3348</v>
      </c>
      <c r="M98" s="6" t="s">
        <v>92</v>
      </c>
    </row>
    <row r="99" customFormat="false" ht="15" hidden="false" customHeight="false" outlineLevel="0" collapsed="false">
      <c r="A99" s="6" t="s">
        <v>666</v>
      </c>
      <c r="B99" s="6" t="s">
        <v>661</v>
      </c>
      <c r="C99" s="6" t="s">
        <v>108</v>
      </c>
      <c r="D99" s="6" t="s">
        <v>108</v>
      </c>
      <c r="E99" s="6" t="s">
        <v>3244</v>
      </c>
      <c r="F99" s="6" t="s">
        <v>667</v>
      </c>
      <c r="G99" s="10" t="b">
        <f aca="false">TRUE()</f>
        <v>1</v>
      </c>
      <c r="H99" s="6" t="s">
        <v>662</v>
      </c>
      <c r="I99" s="6" t="s">
        <v>663</v>
      </c>
      <c r="J99" s="6" t="s">
        <v>39</v>
      </c>
      <c r="K99" s="7" t="n">
        <v>2499</v>
      </c>
      <c r="L99" s="6" t="s">
        <v>3349</v>
      </c>
      <c r="M99" s="6" t="s">
        <v>92</v>
      </c>
    </row>
    <row r="100" customFormat="false" ht="15" hidden="false" customHeight="false" outlineLevel="0" collapsed="false">
      <c r="A100" s="6" t="s">
        <v>2092</v>
      </c>
      <c r="B100" s="6" t="s">
        <v>2086</v>
      </c>
      <c r="C100" s="6" t="s">
        <v>108</v>
      </c>
      <c r="D100" s="6" t="s">
        <v>108</v>
      </c>
      <c r="E100" s="6" t="s">
        <v>3244</v>
      </c>
      <c r="F100" s="6" t="s">
        <v>2093</v>
      </c>
      <c r="G100" s="10" t="b">
        <f aca="false">TRUE()</f>
        <v>1</v>
      </c>
      <c r="H100" s="6" t="s">
        <v>2087</v>
      </c>
      <c r="I100" s="6" t="s">
        <v>2088</v>
      </c>
      <c r="J100" s="6" t="s">
        <v>39</v>
      </c>
      <c r="K100" s="7" t="n">
        <v>3999</v>
      </c>
      <c r="L100" s="6" t="s">
        <v>3350</v>
      </c>
      <c r="M100" s="6" t="s">
        <v>92</v>
      </c>
    </row>
    <row r="101" customFormat="false" ht="15" hidden="false" customHeight="false" outlineLevel="0" collapsed="false">
      <c r="A101" s="6" t="s">
        <v>550</v>
      </c>
      <c r="B101" s="6" t="s">
        <v>3351</v>
      </c>
      <c r="C101" s="6" t="s">
        <v>108</v>
      </c>
      <c r="D101" s="6" t="s">
        <v>108</v>
      </c>
      <c r="E101" s="6" t="s">
        <v>3224</v>
      </c>
      <c r="F101" s="6" t="s">
        <v>551</v>
      </c>
      <c r="G101" s="10" t="b">
        <f aca="false">TRUE()</f>
        <v>1</v>
      </c>
      <c r="H101" s="6" t="s">
        <v>546</v>
      </c>
      <c r="I101" s="6" t="s">
        <v>547</v>
      </c>
      <c r="J101" s="6" t="s">
        <v>39</v>
      </c>
      <c r="K101" s="7" t="n">
        <v>2499</v>
      </c>
      <c r="L101" s="6" t="s">
        <v>3352</v>
      </c>
      <c r="M101" s="6" t="s">
        <v>92</v>
      </c>
    </row>
    <row r="102" customFormat="false" ht="15" hidden="false" customHeight="false" outlineLevel="0" collapsed="false">
      <c r="A102" s="6" t="s">
        <v>432</v>
      </c>
      <c r="B102" s="6" t="s">
        <v>3353</v>
      </c>
      <c r="C102" s="6" t="s">
        <v>108</v>
      </c>
      <c r="D102" s="6" t="s">
        <v>108</v>
      </c>
      <c r="E102" s="6" t="s">
        <v>3261</v>
      </c>
      <c r="F102" s="6" t="s">
        <v>433</v>
      </c>
      <c r="G102" s="10" t="b">
        <f aca="false">TRUE()</f>
        <v>1</v>
      </c>
      <c r="H102" s="6" t="s">
        <v>426</v>
      </c>
      <c r="I102" s="6" t="s">
        <v>427</v>
      </c>
      <c r="J102" s="6" t="s">
        <v>39</v>
      </c>
      <c r="K102" s="7" t="n">
        <v>5600</v>
      </c>
      <c r="L102" s="6" t="s">
        <v>430</v>
      </c>
      <c r="M102" s="6" t="s">
        <v>92</v>
      </c>
    </row>
    <row r="103" customFormat="false" ht="15" hidden="false" customHeight="false" outlineLevel="0" collapsed="false">
      <c r="A103" s="6" t="s">
        <v>202</v>
      </c>
      <c r="B103" s="6" t="s">
        <v>195</v>
      </c>
      <c r="C103" s="6" t="s">
        <v>108</v>
      </c>
      <c r="D103" s="6" t="s">
        <v>108</v>
      </c>
      <c r="E103" s="6" t="s">
        <v>3261</v>
      </c>
      <c r="F103" s="6" t="s">
        <v>203</v>
      </c>
      <c r="G103" s="10" t="b">
        <f aca="false">TRUE()</f>
        <v>1</v>
      </c>
      <c r="H103" s="6" t="s">
        <v>196</v>
      </c>
      <c r="I103" s="6" t="s">
        <v>197</v>
      </c>
      <c r="J103" s="6" t="s">
        <v>39</v>
      </c>
      <c r="K103" s="7" t="n">
        <v>2499</v>
      </c>
      <c r="L103" s="6" t="s">
        <v>3354</v>
      </c>
      <c r="M103" s="6" t="s">
        <v>92</v>
      </c>
    </row>
    <row r="104" customFormat="false" ht="15" hidden="false" customHeight="false" outlineLevel="0" collapsed="false">
      <c r="A104" s="6" t="s">
        <v>441</v>
      </c>
      <c r="B104" s="6" t="s">
        <v>435</v>
      </c>
      <c r="C104" s="6" t="s">
        <v>108</v>
      </c>
      <c r="D104" s="6" t="s">
        <v>108</v>
      </c>
      <c r="E104" s="6" t="s">
        <v>3234</v>
      </c>
      <c r="F104" s="6" t="s">
        <v>442</v>
      </c>
      <c r="G104" s="10" t="b">
        <f aca="false">TRUE()</f>
        <v>1</v>
      </c>
      <c r="H104" s="6" t="s">
        <v>435</v>
      </c>
      <c r="I104" s="6" t="s">
        <v>436</v>
      </c>
      <c r="J104" s="6" t="s">
        <v>39</v>
      </c>
      <c r="K104" s="7" t="n">
        <v>5000</v>
      </c>
      <c r="L104" s="6" t="s">
        <v>3355</v>
      </c>
      <c r="M104" s="6" t="s">
        <v>92</v>
      </c>
    </row>
    <row r="105" customFormat="false" ht="15" hidden="false" customHeight="false" outlineLevel="0" collapsed="false">
      <c r="A105" s="6" t="s">
        <v>1212</v>
      </c>
      <c r="B105" s="6" t="s">
        <v>1205</v>
      </c>
      <c r="C105" s="6" t="s">
        <v>108</v>
      </c>
      <c r="D105" s="6" t="s">
        <v>108</v>
      </c>
      <c r="E105" s="6" t="s">
        <v>3259</v>
      </c>
      <c r="F105" s="6" t="s">
        <v>1213</v>
      </c>
      <c r="G105" s="10" t="b">
        <f aca="false">TRUE()</f>
        <v>1</v>
      </c>
      <c r="H105" s="6" t="s">
        <v>1206</v>
      </c>
      <c r="I105" s="6" t="s">
        <v>1207</v>
      </c>
      <c r="J105" s="6" t="s">
        <v>39</v>
      </c>
      <c r="K105" s="7" t="n">
        <v>1999</v>
      </c>
      <c r="L105" s="6" t="s">
        <v>3356</v>
      </c>
      <c r="M105" s="6" t="s">
        <v>92</v>
      </c>
    </row>
    <row r="106" customFormat="false" ht="15" hidden="false" customHeight="false" outlineLevel="0" collapsed="false">
      <c r="A106" s="6" t="s">
        <v>209</v>
      </c>
      <c r="B106" s="6" t="s">
        <v>3357</v>
      </c>
      <c r="C106" s="6" t="s">
        <v>108</v>
      </c>
      <c r="D106" s="6" t="s">
        <v>108</v>
      </c>
      <c r="E106" s="6" t="s">
        <v>3224</v>
      </c>
      <c r="F106" s="6" t="s">
        <v>210</v>
      </c>
      <c r="G106" s="10" t="b">
        <f aca="false">TRUE()</f>
        <v>1</v>
      </c>
      <c r="H106" s="6" t="s">
        <v>205</v>
      </c>
      <c r="I106" s="6" t="s">
        <v>206</v>
      </c>
      <c r="J106" s="6" t="s">
        <v>39</v>
      </c>
      <c r="K106" s="7" t="n">
        <v>5000</v>
      </c>
      <c r="L106" s="6" t="s">
        <v>3358</v>
      </c>
      <c r="M106" s="6" t="s">
        <v>92</v>
      </c>
    </row>
    <row r="107" customFormat="false" ht="15" hidden="false" customHeight="false" outlineLevel="0" collapsed="false">
      <c r="A107" s="6" t="s">
        <v>217</v>
      </c>
      <c r="B107" s="6" t="s">
        <v>211</v>
      </c>
      <c r="C107" s="6" t="s">
        <v>108</v>
      </c>
      <c r="D107" s="6" t="s">
        <v>108</v>
      </c>
      <c r="E107" s="6" t="s">
        <v>3232</v>
      </c>
      <c r="F107" s="6" t="s">
        <v>218</v>
      </c>
      <c r="G107" s="10" t="b">
        <f aca="false">TRUE()</f>
        <v>1</v>
      </c>
      <c r="H107" s="6" t="s">
        <v>212</v>
      </c>
      <c r="I107" s="6" t="s">
        <v>213</v>
      </c>
      <c r="J107" s="6" t="s">
        <v>39</v>
      </c>
      <c r="K107" s="7" t="n">
        <v>5000</v>
      </c>
      <c r="L107" s="6" t="s">
        <v>3359</v>
      </c>
      <c r="M107" s="6" t="s">
        <v>92</v>
      </c>
    </row>
    <row r="108" customFormat="false" ht="15" hidden="false" customHeight="false" outlineLevel="0" collapsed="false">
      <c r="A108" s="6" t="s">
        <v>1144</v>
      </c>
      <c r="B108" s="6" t="s">
        <v>1138</v>
      </c>
      <c r="C108" s="6" t="s">
        <v>108</v>
      </c>
      <c r="D108" s="6" t="s">
        <v>108</v>
      </c>
      <c r="E108" s="6" t="s">
        <v>3247</v>
      </c>
      <c r="F108" s="6" t="s">
        <v>1145</v>
      </c>
      <c r="G108" s="10" t="b">
        <f aca="false">TRUE()</f>
        <v>1</v>
      </c>
      <c r="H108" s="6" t="s">
        <v>1139</v>
      </c>
      <c r="I108" s="6" t="s">
        <v>1140</v>
      </c>
      <c r="J108" s="6" t="s">
        <v>39</v>
      </c>
      <c r="K108" s="7" t="n">
        <v>5000</v>
      </c>
      <c r="L108" s="6" t="s">
        <v>3360</v>
      </c>
      <c r="M108" s="6" t="s">
        <v>92</v>
      </c>
    </row>
    <row r="109" customFormat="false" ht="15" hidden="false" customHeight="false" outlineLevel="0" collapsed="false">
      <c r="A109" s="6" t="s">
        <v>3361</v>
      </c>
      <c r="B109" s="6" t="s">
        <v>3362</v>
      </c>
      <c r="C109" s="6" t="s">
        <v>108</v>
      </c>
      <c r="D109" s="6" t="s">
        <v>108</v>
      </c>
      <c r="E109" s="6" t="s">
        <v>3232</v>
      </c>
      <c r="F109" s="6" t="s">
        <v>3363</v>
      </c>
      <c r="G109" s="9" t="b">
        <f aca="false">FALSE()</f>
        <v>0</v>
      </c>
      <c r="H109" s="6"/>
      <c r="I109" s="6"/>
      <c r="J109" s="6"/>
      <c r="K109" s="6"/>
      <c r="L109" s="6"/>
      <c r="M109" s="6" t="s">
        <v>3269</v>
      </c>
    </row>
    <row r="110" customFormat="false" ht="15" hidden="false" customHeight="false" outlineLevel="0" collapsed="false">
      <c r="A110" s="6" t="s">
        <v>1153</v>
      </c>
      <c r="B110" s="6" t="s">
        <v>1146</v>
      </c>
      <c r="C110" s="6" t="s">
        <v>108</v>
      </c>
      <c r="D110" s="6" t="s">
        <v>108</v>
      </c>
      <c r="E110" s="6" t="s">
        <v>3259</v>
      </c>
      <c r="F110" s="6" t="s">
        <v>1154</v>
      </c>
      <c r="G110" s="10" t="b">
        <f aca="false">TRUE()</f>
        <v>1</v>
      </c>
      <c r="H110" s="6" t="s">
        <v>1147</v>
      </c>
      <c r="I110" s="6" t="s">
        <v>1148</v>
      </c>
      <c r="J110" s="6" t="s">
        <v>39</v>
      </c>
      <c r="K110" s="7" t="n">
        <v>3799</v>
      </c>
      <c r="L110" s="6" t="s">
        <v>1151</v>
      </c>
      <c r="M110" s="6" t="s">
        <v>92</v>
      </c>
    </row>
    <row r="111" customFormat="false" ht="15" hidden="false" customHeight="false" outlineLevel="0" collapsed="false">
      <c r="A111" s="6" t="s">
        <v>827</v>
      </c>
      <c r="B111" s="6" t="s">
        <v>821</v>
      </c>
      <c r="C111" s="6" t="s">
        <v>108</v>
      </c>
      <c r="D111" s="6" t="s">
        <v>108</v>
      </c>
      <c r="E111" s="6" t="s">
        <v>3247</v>
      </c>
      <c r="F111" s="6" t="s">
        <v>828</v>
      </c>
      <c r="G111" s="10" t="b">
        <f aca="false">TRUE()</f>
        <v>1</v>
      </c>
      <c r="H111" s="6" t="s">
        <v>822</v>
      </c>
      <c r="I111" s="6" t="s">
        <v>823</v>
      </c>
      <c r="J111" s="6" t="s">
        <v>39</v>
      </c>
      <c r="K111" s="7" t="n">
        <v>2999</v>
      </c>
      <c r="L111" s="6" t="s">
        <v>3364</v>
      </c>
      <c r="M111" s="6" t="s">
        <v>92</v>
      </c>
    </row>
    <row r="112" customFormat="false" ht="15" hidden="false" customHeight="false" outlineLevel="0" collapsed="false">
      <c r="A112" s="6" t="s">
        <v>448</v>
      </c>
      <c r="B112" s="6" t="s">
        <v>443</v>
      </c>
      <c r="C112" s="6" t="s">
        <v>108</v>
      </c>
      <c r="D112" s="6" t="s">
        <v>108</v>
      </c>
      <c r="E112" s="6" t="s">
        <v>3244</v>
      </c>
      <c r="F112" s="6" t="s">
        <v>449</v>
      </c>
      <c r="G112" s="10" t="b">
        <f aca="false">TRUE()</f>
        <v>1</v>
      </c>
      <c r="H112" s="6" t="s">
        <v>444</v>
      </c>
      <c r="I112" s="6" t="s">
        <v>445</v>
      </c>
      <c r="J112" s="6" t="s">
        <v>39</v>
      </c>
      <c r="K112" s="7" t="n">
        <v>1999</v>
      </c>
      <c r="L112" s="6" t="s">
        <v>3365</v>
      </c>
      <c r="M112" s="6" t="s">
        <v>92</v>
      </c>
    </row>
    <row r="113" customFormat="false" ht="15" hidden="false" customHeight="false" outlineLevel="0" collapsed="false">
      <c r="A113" s="6" t="s">
        <v>642</v>
      </c>
      <c r="B113" s="6" t="s">
        <v>636</v>
      </c>
      <c r="C113" s="6" t="s">
        <v>108</v>
      </c>
      <c r="D113" s="6" t="s">
        <v>108</v>
      </c>
      <c r="E113" s="6"/>
      <c r="F113" s="6" t="s">
        <v>643</v>
      </c>
      <c r="G113" s="10" t="b">
        <f aca="false">TRUE()</f>
        <v>1</v>
      </c>
      <c r="H113" s="6" t="s">
        <v>637</v>
      </c>
      <c r="I113" s="6" t="s">
        <v>638</v>
      </c>
      <c r="J113" s="6" t="s">
        <v>39</v>
      </c>
      <c r="K113" s="7" t="n">
        <v>1999</v>
      </c>
      <c r="L113" s="6" t="s">
        <v>3366</v>
      </c>
      <c r="M113" s="6" t="s">
        <v>92</v>
      </c>
    </row>
    <row r="114" customFormat="false" ht="15" hidden="false" customHeight="false" outlineLevel="0" collapsed="false">
      <c r="A114" s="6" t="s">
        <v>835</v>
      </c>
      <c r="B114" s="6" t="s">
        <v>3367</v>
      </c>
      <c r="C114" s="6" t="s">
        <v>108</v>
      </c>
      <c r="D114" s="6" t="s">
        <v>108</v>
      </c>
      <c r="E114" s="6" t="s">
        <v>3244</v>
      </c>
      <c r="F114" s="6" t="s">
        <v>836</v>
      </c>
      <c r="G114" s="10" t="b">
        <f aca="false">TRUE()</f>
        <v>1</v>
      </c>
      <c r="H114" s="6" t="s">
        <v>830</v>
      </c>
      <c r="I114" s="6" t="s">
        <v>831</v>
      </c>
      <c r="J114" s="6" t="s">
        <v>39</v>
      </c>
      <c r="K114" s="7" t="n">
        <v>3500</v>
      </c>
      <c r="L114" s="6" t="s">
        <v>3368</v>
      </c>
      <c r="M114" s="6" t="s">
        <v>92</v>
      </c>
    </row>
    <row r="115" customFormat="false" ht="15" hidden="false" customHeight="false" outlineLevel="0" collapsed="false">
      <c r="A115" s="6" t="s">
        <v>851</v>
      </c>
      <c r="B115" s="6" t="s">
        <v>845</v>
      </c>
      <c r="C115" s="6" t="s">
        <v>108</v>
      </c>
      <c r="D115" s="6" t="s">
        <v>108</v>
      </c>
      <c r="E115" s="6" t="s">
        <v>3244</v>
      </c>
      <c r="F115" s="6" t="s">
        <v>852</v>
      </c>
      <c r="G115" s="10" t="b">
        <f aca="false">TRUE()</f>
        <v>1</v>
      </c>
      <c r="H115" s="6" t="s">
        <v>846</v>
      </c>
      <c r="I115" s="6" t="s">
        <v>847</v>
      </c>
      <c r="J115" s="6" t="s">
        <v>39</v>
      </c>
      <c r="K115" s="7" t="n">
        <v>5000</v>
      </c>
      <c r="L115" s="6" t="s">
        <v>3369</v>
      </c>
      <c r="M115" s="6" t="s">
        <v>92</v>
      </c>
    </row>
    <row r="116" customFormat="false" ht="15" hidden="false" customHeight="false" outlineLevel="0" collapsed="false">
      <c r="A116" s="6" t="s">
        <v>3370</v>
      </c>
      <c r="B116" s="6" t="s">
        <v>3371</v>
      </c>
      <c r="C116" s="6" t="s">
        <v>108</v>
      </c>
      <c r="D116" s="6" t="s">
        <v>108</v>
      </c>
      <c r="E116" s="6" t="s">
        <v>3244</v>
      </c>
      <c r="F116" s="6" t="s">
        <v>3372</v>
      </c>
      <c r="G116" s="9" t="b">
        <f aca="false">FALSE()</f>
        <v>0</v>
      </c>
      <c r="H116" s="6"/>
      <c r="I116" s="6"/>
      <c r="J116" s="6"/>
      <c r="K116" s="6"/>
      <c r="L116" s="6"/>
      <c r="M116" s="6" t="s">
        <v>3269</v>
      </c>
    </row>
    <row r="117" customFormat="false" ht="15" hidden="false" customHeight="false" outlineLevel="0" collapsed="false">
      <c r="A117" s="6" t="s">
        <v>3373</v>
      </c>
      <c r="B117" s="6" t="s">
        <v>3374</v>
      </c>
      <c r="C117" s="6" t="s">
        <v>108</v>
      </c>
      <c r="D117" s="6" t="s">
        <v>108</v>
      </c>
      <c r="E117" s="6" t="s">
        <v>3244</v>
      </c>
      <c r="F117" s="6" t="s">
        <v>3375</v>
      </c>
      <c r="G117" s="9" t="b">
        <f aca="false">FALSE()</f>
        <v>0</v>
      </c>
      <c r="H117" s="6"/>
      <c r="I117" s="6"/>
      <c r="J117" s="6"/>
      <c r="K117" s="6"/>
      <c r="L117" s="6"/>
      <c r="M117" s="6" t="s">
        <v>3269</v>
      </c>
    </row>
    <row r="118" customFormat="false" ht="15" hidden="false" customHeight="false" outlineLevel="0" collapsed="false">
      <c r="A118" s="6" t="s">
        <v>982</v>
      </c>
      <c r="B118" s="6" t="s">
        <v>977</v>
      </c>
      <c r="C118" s="6" t="s">
        <v>108</v>
      </c>
      <c r="D118" s="6" t="s">
        <v>108</v>
      </c>
      <c r="E118" s="6" t="s">
        <v>3244</v>
      </c>
      <c r="F118" s="6" t="s">
        <v>983</v>
      </c>
      <c r="G118" s="10" t="b">
        <f aca="false">TRUE()</f>
        <v>1</v>
      </c>
      <c r="H118" s="6" t="s">
        <v>978</v>
      </c>
      <c r="I118" s="6" t="s">
        <v>979</v>
      </c>
      <c r="J118" s="6" t="s">
        <v>39</v>
      </c>
      <c r="K118" s="7" t="n">
        <v>2999</v>
      </c>
      <c r="L118" s="6" t="s">
        <v>3376</v>
      </c>
      <c r="M118" s="6" t="s">
        <v>92</v>
      </c>
    </row>
    <row r="119" customFormat="false" ht="15" hidden="false" customHeight="false" outlineLevel="0" collapsed="false">
      <c r="A119" s="6" t="s">
        <v>843</v>
      </c>
      <c r="B119" s="6" t="s">
        <v>837</v>
      </c>
      <c r="C119" s="6" t="s">
        <v>108</v>
      </c>
      <c r="D119" s="6" t="s">
        <v>108</v>
      </c>
      <c r="E119" s="6"/>
      <c r="F119" s="6" t="s">
        <v>844</v>
      </c>
      <c r="G119" s="10" t="b">
        <f aca="false">TRUE()</f>
        <v>1</v>
      </c>
      <c r="H119" s="6" t="s">
        <v>838</v>
      </c>
      <c r="I119" s="6" t="s">
        <v>839</v>
      </c>
      <c r="J119" s="6" t="s">
        <v>39</v>
      </c>
      <c r="K119" s="7" t="n">
        <v>2499</v>
      </c>
      <c r="L119" s="6" t="s">
        <v>3377</v>
      </c>
      <c r="M119" s="6" t="s">
        <v>92</v>
      </c>
    </row>
    <row r="120" customFormat="false" ht="15" hidden="false" customHeight="false" outlineLevel="0" collapsed="false">
      <c r="A120" s="6" t="s">
        <v>626</v>
      </c>
      <c r="B120" s="6" t="s">
        <v>621</v>
      </c>
      <c r="C120" s="6" t="s">
        <v>108</v>
      </c>
      <c r="D120" s="6" t="s">
        <v>108</v>
      </c>
      <c r="E120" s="6"/>
      <c r="F120" s="6" t="s">
        <v>627</v>
      </c>
      <c r="G120" s="10" t="b">
        <f aca="false">TRUE()</f>
        <v>1</v>
      </c>
      <c r="H120" s="6" t="s">
        <v>622</v>
      </c>
      <c r="I120" s="6" t="s">
        <v>623</v>
      </c>
      <c r="J120" s="6" t="s">
        <v>39</v>
      </c>
      <c r="K120" s="7" t="n">
        <v>2999</v>
      </c>
      <c r="L120" s="6" t="s">
        <v>3378</v>
      </c>
      <c r="M120" s="6" t="s">
        <v>92</v>
      </c>
    </row>
    <row r="121" customFormat="false" ht="15" hidden="false" customHeight="false" outlineLevel="0" collapsed="false">
      <c r="A121" s="6" t="s">
        <v>858</v>
      </c>
      <c r="B121" s="6" t="s">
        <v>853</v>
      </c>
      <c r="C121" s="6" t="s">
        <v>108</v>
      </c>
      <c r="D121" s="6" t="s">
        <v>108</v>
      </c>
      <c r="E121" s="6" t="s">
        <v>3261</v>
      </c>
      <c r="F121" s="6" t="s">
        <v>859</v>
      </c>
      <c r="G121" s="10" t="b">
        <f aca="false">TRUE()</f>
        <v>1</v>
      </c>
      <c r="H121" s="6" t="s">
        <v>854</v>
      </c>
      <c r="I121" s="6" t="s">
        <v>855</v>
      </c>
      <c r="J121" s="6" t="s">
        <v>39</v>
      </c>
      <c r="K121" s="7" t="n">
        <v>2499</v>
      </c>
      <c r="L121" s="6" t="s">
        <v>3379</v>
      </c>
      <c r="M121" s="6" t="s">
        <v>92</v>
      </c>
    </row>
    <row r="122" customFormat="false" ht="15" hidden="false" customHeight="false" outlineLevel="0" collapsed="false">
      <c r="A122" s="6" t="s">
        <v>990</v>
      </c>
      <c r="B122" s="6" t="s">
        <v>3380</v>
      </c>
      <c r="C122" s="6" t="s">
        <v>108</v>
      </c>
      <c r="D122" s="6" t="s">
        <v>108</v>
      </c>
      <c r="E122" s="6" t="s">
        <v>3247</v>
      </c>
      <c r="F122" s="6" t="s">
        <v>991</v>
      </c>
      <c r="G122" s="10" t="b">
        <f aca="false">TRUE()</f>
        <v>1</v>
      </c>
      <c r="H122" s="6" t="s">
        <v>985</v>
      </c>
      <c r="I122" s="6" t="s">
        <v>986</v>
      </c>
      <c r="J122" s="6" t="s">
        <v>39</v>
      </c>
      <c r="K122" s="7" t="n">
        <v>5000</v>
      </c>
      <c r="L122" s="6" t="s">
        <v>3381</v>
      </c>
      <c r="M122" s="6" t="s">
        <v>358</v>
      </c>
    </row>
    <row r="123" customFormat="false" ht="15" hidden="false" customHeight="false" outlineLevel="0" collapsed="false">
      <c r="A123" s="6" t="s">
        <v>1170</v>
      </c>
      <c r="B123" s="6" t="s">
        <v>1163</v>
      </c>
      <c r="C123" s="6" t="s">
        <v>108</v>
      </c>
      <c r="D123" s="6" t="s">
        <v>108</v>
      </c>
      <c r="E123" s="6" t="s">
        <v>3234</v>
      </c>
      <c r="F123" s="6" t="s">
        <v>1171</v>
      </c>
      <c r="G123" s="10" t="b">
        <f aca="false">TRUE()</f>
        <v>1</v>
      </c>
      <c r="H123" s="6" t="s">
        <v>1164</v>
      </c>
      <c r="I123" s="6" t="s">
        <v>1165</v>
      </c>
      <c r="J123" s="6" t="s">
        <v>39</v>
      </c>
      <c r="K123" s="7" t="n">
        <v>2999</v>
      </c>
      <c r="L123" s="6" t="s">
        <v>3382</v>
      </c>
      <c r="M123" s="6" t="s">
        <v>92</v>
      </c>
    </row>
    <row r="124" customFormat="false" ht="15" hidden="false" customHeight="false" outlineLevel="0" collapsed="false">
      <c r="A124" s="6" t="s">
        <v>1178</v>
      </c>
      <c r="B124" s="6" t="s">
        <v>1172</v>
      </c>
      <c r="C124" s="6" t="s">
        <v>108</v>
      </c>
      <c r="D124" s="6" t="s">
        <v>108</v>
      </c>
      <c r="E124" s="6" t="s">
        <v>3232</v>
      </c>
      <c r="F124" s="6" t="s">
        <v>1179</v>
      </c>
      <c r="G124" s="10" t="b">
        <f aca="false">TRUE()</f>
        <v>1</v>
      </c>
      <c r="H124" s="6" t="s">
        <v>1173</v>
      </c>
      <c r="I124" s="6" t="s">
        <v>1174</v>
      </c>
      <c r="J124" s="6" t="s">
        <v>39</v>
      </c>
      <c r="K124" s="7" t="n">
        <v>2499</v>
      </c>
      <c r="L124" s="6" t="s">
        <v>3383</v>
      </c>
      <c r="M124" s="6" t="s">
        <v>92</v>
      </c>
    </row>
    <row r="125" customFormat="false" ht="15" hidden="false" customHeight="false" outlineLevel="0" collapsed="false">
      <c r="A125" s="6" t="s">
        <v>457</v>
      </c>
      <c r="B125" s="6" t="s">
        <v>450</v>
      </c>
      <c r="C125" s="6" t="s">
        <v>108</v>
      </c>
      <c r="D125" s="6" t="s">
        <v>108</v>
      </c>
      <c r="E125" s="6" t="s">
        <v>3384</v>
      </c>
      <c r="F125" s="6" t="s">
        <v>458</v>
      </c>
      <c r="G125" s="10" t="b">
        <f aca="false">TRUE()</f>
        <v>1</v>
      </c>
      <c r="H125" s="6" t="s">
        <v>451</v>
      </c>
      <c r="I125" s="6" t="s">
        <v>452</v>
      </c>
      <c r="J125" s="6" t="s">
        <v>39</v>
      </c>
      <c r="K125" s="7" t="n">
        <v>5600</v>
      </c>
      <c r="L125" s="6" t="s">
        <v>455</v>
      </c>
      <c r="M125" s="6" t="s">
        <v>92</v>
      </c>
    </row>
    <row r="126" customFormat="false" ht="15" hidden="false" customHeight="false" outlineLevel="0" collapsed="false">
      <c r="A126" s="6" t="s">
        <v>1187</v>
      </c>
      <c r="B126" s="6" t="s">
        <v>1180</v>
      </c>
      <c r="C126" s="6" t="s">
        <v>108</v>
      </c>
      <c r="D126" s="6" t="s">
        <v>108</v>
      </c>
      <c r="E126" s="6" t="s">
        <v>3385</v>
      </c>
      <c r="F126" s="6" t="s">
        <v>1188</v>
      </c>
      <c r="G126" s="10" t="b">
        <f aca="false">TRUE()</f>
        <v>1</v>
      </c>
      <c r="H126" s="6" t="s">
        <v>1181</v>
      </c>
      <c r="I126" s="6" t="s">
        <v>1182</v>
      </c>
      <c r="J126" s="6" t="s">
        <v>39</v>
      </c>
      <c r="K126" s="7" t="n">
        <v>5000</v>
      </c>
      <c r="L126" s="6" t="s">
        <v>3386</v>
      </c>
      <c r="M126" s="6" t="s">
        <v>92</v>
      </c>
    </row>
    <row r="127" customFormat="false" ht="15" hidden="false" customHeight="false" outlineLevel="0" collapsed="false">
      <c r="A127" s="6" t="s">
        <v>619</v>
      </c>
      <c r="B127" s="6" t="s">
        <v>613</v>
      </c>
      <c r="C127" s="6" t="s">
        <v>108</v>
      </c>
      <c r="D127" s="6" t="s">
        <v>108</v>
      </c>
      <c r="E127" s="6" t="s">
        <v>3244</v>
      </c>
      <c r="F127" s="6" t="s">
        <v>620</v>
      </c>
      <c r="G127" s="10" t="b">
        <f aca="false">TRUE()</f>
        <v>1</v>
      </c>
      <c r="H127" s="6" t="s">
        <v>614</v>
      </c>
      <c r="I127" s="6" t="s">
        <v>615</v>
      </c>
      <c r="J127" s="6" t="s">
        <v>39</v>
      </c>
      <c r="K127" s="7" t="n">
        <v>1999</v>
      </c>
      <c r="L127" s="6" t="s">
        <v>3387</v>
      </c>
      <c r="M127" s="6" t="s">
        <v>92</v>
      </c>
    </row>
    <row r="128" customFormat="false" ht="15" hidden="false" customHeight="false" outlineLevel="0" collapsed="false">
      <c r="A128" s="6" t="s">
        <v>234</v>
      </c>
      <c r="B128" s="6" t="s">
        <v>228</v>
      </c>
      <c r="C128" s="6" t="s">
        <v>108</v>
      </c>
      <c r="D128" s="6" t="s">
        <v>108</v>
      </c>
      <c r="E128" s="6" t="s">
        <v>3259</v>
      </c>
      <c r="F128" s="6" t="s">
        <v>235</v>
      </c>
      <c r="G128" s="10" t="b">
        <f aca="false">TRUE()</f>
        <v>1</v>
      </c>
      <c r="H128" s="6" t="s">
        <v>229</v>
      </c>
      <c r="I128" s="6" t="s">
        <v>230</v>
      </c>
      <c r="J128" s="6" t="s">
        <v>39</v>
      </c>
      <c r="K128" s="7" t="n">
        <v>2499</v>
      </c>
      <c r="L128" s="6" t="s">
        <v>3388</v>
      </c>
      <c r="M128" s="6" t="s">
        <v>92</v>
      </c>
    </row>
    <row r="129" customFormat="false" ht="15" hidden="false" customHeight="false" outlineLevel="0" collapsed="false">
      <c r="A129" s="6" t="s">
        <v>1203</v>
      </c>
      <c r="B129" s="6" t="s">
        <v>3389</v>
      </c>
      <c r="C129" s="6" t="s">
        <v>108</v>
      </c>
      <c r="D129" s="6" t="s">
        <v>108</v>
      </c>
      <c r="E129" s="6" t="s">
        <v>3385</v>
      </c>
      <c r="F129" s="6" t="s">
        <v>1204</v>
      </c>
      <c r="G129" s="10" t="b">
        <f aca="false">TRUE()</f>
        <v>1</v>
      </c>
      <c r="H129" s="6" t="s">
        <v>1198</v>
      </c>
      <c r="I129" s="6" t="s">
        <v>1199</v>
      </c>
      <c r="J129" s="6" t="s">
        <v>39</v>
      </c>
      <c r="K129" s="7" t="n">
        <v>2499</v>
      </c>
      <c r="L129" s="6" t="s">
        <v>3390</v>
      </c>
      <c r="M129" s="6" t="s">
        <v>92</v>
      </c>
    </row>
    <row r="130" customFormat="false" ht="15" hidden="false" customHeight="false" outlineLevel="0" collapsed="false">
      <c r="A130" s="6" t="s">
        <v>1012</v>
      </c>
      <c r="B130" s="6" t="s">
        <v>1007</v>
      </c>
      <c r="C130" s="6" t="s">
        <v>108</v>
      </c>
      <c r="D130" s="6" t="s">
        <v>108</v>
      </c>
      <c r="E130" s="6" t="s">
        <v>3261</v>
      </c>
      <c r="F130" s="6" t="s">
        <v>1013</v>
      </c>
      <c r="G130" s="10" t="b">
        <f aca="false">TRUE()</f>
        <v>1</v>
      </c>
      <c r="H130" s="6" t="s">
        <v>1008</v>
      </c>
      <c r="I130" s="6" t="s">
        <v>1009</v>
      </c>
      <c r="J130" s="6" t="s">
        <v>39</v>
      </c>
      <c r="K130" s="7" t="n">
        <v>2999</v>
      </c>
      <c r="L130" s="6" t="s">
        <v>3391</v>
      </c>
      <c r="M130" s="6" t="s">
        <v>92</v>
      </c>
    </row>
    <row r="131" customFormat="false" ht="15" hidden="false" customHeight="false" outlineLevel="0" collapsed="false">
      <c r="A131" s="6" t="s">
        <v>865</v>
      </c>
      <c r="B131" s="6" t="s">
        <v>3392</v>
      </c>
      <c r="C131" s="6" t="s">
        <v>108</v>
      </c>
      <c r="D131" s="6" t="s">
        <v>108</v>
      </c>
      <c r="E131" s="6" t="s">
        <v>3247</v>
      </c>
      <c r="F131" s="6" t="s">
        <v>866</v>
      </c>
      <c r="G131" s="10" t="b">
        <f aca="false">TRUE()</f>
        <v>1</v>
      </c>
      <c r="H131" s="6" t="s">
        <v>861</v>
      </c>
      <c r="I131" s="6" t="s">
        <v>862</v>
      </c>
      <c r="J131" s="6" t="s">
        <v>39</v>
      </c>
      <c r="K131" s="7" t="n">
        <v>5000</v>
      </c>
      <c r="L131" s="6" t="s">
        <v>3393</v>
      </c>
      <c r="M131" s="6" t="s">
        <v>92</v>
      </c>
    </row>
    <row r="132" customFormat="false" ht="15" hidden="false" customHeight="false" outlineLevel="0" collapsed="false">
      <c r="A132" s="6" t="s">
        <v>241</v>
      </c>
      <c r="B132" s="6" t="s">
        <v>236</v>
      </c>
      <c r="C132" s="6" t="s">
        <v>108</v>
      </c>
      <c r="D132" s="6" t="s">
        <v>108</v>
      </c>
      <c r="E132" s="6" t="s">
        <v>3224</v>
      </c>
      <c r="F132" s="6" t="s">
        <v>242</v>
      </c>
      <c r="G132" s="10" t="b">
        <f aca="false">TRUE()</f>
        <v>1</v>
      </c>
      <c r="H132" s="6" t="s">
        <v>237</v>
      </c>
      <c r="I132" s="6" t="s">
        <v>238</v>
      </c>
      <c r="J132" s="6" t="s">
        <v>39</v>
      </c>
      <c r="K132" s="7" t="n">
        <v>1999</v>
      </c>
      <c r="L132" s="6" t="s">
        <v>3394</v>
      </c>
      <c r="M132" s="6" t="s">
        <v>92</v>
      </c>
    </row>
    <row r="133" customFormat="false" ht="15" hidden="false" customHeight="false" outlineLevel="0" collapsed="false">
      <c r="A133" s="6" t="s">
        <v>2068</v>
      </c>
      <c r="B133" s="6" t="s">
        <v>2062</v>
      </c>
      <c r="C133" s="6" t="s">
        <v>108</v>
      </c>
      <c r="D133" s="6" t="s">
        <v>108</v>
      </c>
      <c r="E133" s="6" t="s">
        <v>3244</v>
      </c>
      <c r="F133" s="6" t="s">
        <v>2069</v>
      </c>
      <c r="G133" s="10" t="b">
        <f aca="false">TRUE()</f>
        <v>1</v>
      </c>
      <c r="H133" s="6" t="s">
        <v>2063</v>
      </c>
      <c r="I133" s="6" t="s">
        <v>2064</v>
      </c>
      <c r="J133" s="6" t="s">
        <v>39</v>
      </c>
      <c r="K133" s="7" t="n">
        <v>4999</v>
      </c>
      <c r="L133" s="6" t="s">
        <v>3395</v>
      </c>
      <c r="M133" s="6" t="s">
        <v>92</v>
      </c>
    </row>
    <row r="134" customFormat="false" ht="15" hidden="false" customHeight="false" outlineLevel="0" collapsed="false">
      <c r="A134" s="6" t="s">
        <v>464</v>
      </c>
      <c r="B134" s="6" t="s">
        <v>3396</v>
      </c>
      <c r="C134" s="6" t="s">
        <v>108</v>
      </c>
      <c r="D134" s="6" t="s">
        <v>108</v>
      </c>
      <c r="E134" s="6" t="s">
        <v>3224</v>
      </c>
      <c r="F134" s="6" t="s">
        <v>465</v>
      </c>
      <c r="G134" s="10" t="b">
        <f aca="false">TRUE()</f>
        <v>1</v>
      </c>
      <c r="H134" s="6" t="s">
        <v>460</v>
      </c>
      <c r="I134" s="6" t="s">
        <v>461</v>
      </c>
      <c r="J134" s="6" t="s">
        <v>39</v>
      </c>
      <c r="K134" s="7" t="n">
        <v>1499</v>
      </c>
      <c r="L134" s="6" t="s">
        <v>3397</v>
      </c>
      <c r="M134" s="6" t="s">
        <v>358</v>
      </c>
    </row>
    <row r="135" customFormat="false" ht="15" hidden="false" customHeight="false" outlineLevel="0" collapsed="false">
      <c r="A135" s="6" t="s">
        <v>471</v>
      </c>
      <c r="B135" s="6" t="s">
        <v>3398</v>
      </c>
      <c r="C135" s="6" t="s">
        <v>108</v>
      </c>
      <c r="D135" s="6" t="s">
        <v>108</v>
      </c>
      <c r="E135" s="6"/>
      <c r="F135" s="6" t="s">
        <v>472</v>
      </c>
      <c r="G135" s="10" t="b">
        <f aca="false">TRUE()</f>
        <v>1</v>
      </c>
      <c r="H135" s="6" t="s">
        <v>467</v>
      </c>
      <c r="I135" s="6" t="s">
        <v>468</v>
      </c>
      <c r="J135" s="6" t="s">
        <v>39</v>
      </c>
      <c r="K135" s="7" t="n">
        <v>1999</v>
      </c>
      <c r="L135" s="6" t="s">
        <v>3399</v>
      </c>
      <c r="M135" s="6" t="s">
        <v>92</v>
      </c>
    </row>
    <row r="136" customFormat="false" ht="15" hidden="false" customHeight="false" outlineLevel="0" collapsed="false">
      <c r="A136" s="6" t="s">
        <v>566</v>
      </c>
      <c r="B136" s="6" t="s">
        <v>3400</v>
      </c>
      <c r="C136" s="6" t="s">
        <v>108</v>
      </c>
      <c r="D136" s="6" t="s">
        <v>108</v>
      </c>
      <c r="E136" s="6"/>
      <c r="F136" s="6" t="s">
        <v>567</v>
      </c>
      <c r="G136" s="10" t="b">
        <f aca="false">TRUE()</f>
        <v>1</v>
      </c>
      <c r="H136" s="6" t="s">
        <v>560</v>
      </c>
      <c r="I136" s="6" t="s">
        <v>561</v>
      </c>
      <c r="J136" s="6" t="s">
        <v>39</v>
      </c>
      <c r="K136" s="7" t="n">
        <v>8999</v>
      </c>
      <c r="L136" s="6" t="s">
        <v>3401</v>
      </c>
      <c r="M136" s="6" t="s">
        <v>75</v>
      </c>
    </row>
    <row r="137" customFormat="false" ht="15" hidden="false" customHeight="false" outlineLevel="0" collapsed="false">
      <c r="A137" s="6" t="s">
        <v>596</v>
      </c>
      <c r="B137" s="6" t="s">
        <v>591</v>
      </c>
      <c r="C137" s="6" t="s">
        <v>108</v>
      </c>
      <c r="D137" s="6" t="s">
        <v>108</v>
      </c>
      <c r="E137" s="6" t="s">
        <v>3224</v>
      </c>
      <c r="F137" s="6" t="s">
        <v>597</v>
      </c>
      <c r="G137" s="10" t="b">
        <f aca="false">TRUE()</f>
        <v>1</v>
      </c>
      <c r="H137" s="6" t="s">
        <v>592</v>
      </c>
      <c r="I137" s="6" t="s">
        <v>593</v>
      </c>
      <c r="J137" s="6" t="s">
        <v>39</v>
      </c>
      <c r="K137" s="7" t="n">
        <v>5000</v>
      </c>
      <c r="L137" s="6" t="s">
        <v>3402</v>
      </c>
      <c r="M137" s="6" t="s">
        <v>92</v>
      </c>
    </row>
    <row r="138" customFormat="false" ht="15" hidden="false" customHeight="false" outlineLevel="0" collapsed="false">
      <c r="A138" s="6" t="s">
        <v>478</v>
      </c>
      <c r="B138" s="6" t="s">
        <v>3403</v>
      </c>
      <c r="C138" s="6" t="s">
        <v>108</v>
      </c>
      <c r="D138" s="6" t="s">
        <v>108</v>
      </c>
      <c r="E138" s="6" t="s">
        <v>3404</v>
      </c>
      <c r="F138" s="6" t="s">
        <v>479</v>
      </c>
      <c r="G138" s="10" t="b">
        <f aca="false">TRUE()</f>
        <v>1</v>
      </c>
      <c r="H138" s="6" t="s">
        <v>474</v>
      </c>
      <c r="I138" s="6" t="s">
        <v>475</v>
      </c>
      <c r="J138" s="6" t="s">
        <v>39</v>
      </c>
      <c r="K138" s="7" t="n">
        <v>1999</v>
      </c>
      <c r="L138" s="6" t="s">
        <v>3405</v>
      </c>
      <c r="M138" s="6" t="s">
        <v>92</v>
      </c>
    </row>
    <row r="139" customFormat="false" ht="15" hidden="false" customHeight="false" outlineLevel="0" collapsed="false">
      <c r="A139" s="6" t="s">
        <v>873</v>
      </c>
      <c r="B139" s="6" t="s">
        <v>867</v>
      </c>
      <c r="C139" s="6" t="s">
        <v>108</v>
      </c>
      <c r="D139" s="6" t="s">
        <v>108</v>
      </c>
      <c r="E139" s="6"/>
      <c r="F139" s="6" t="s">
        <v>874</v>
      </c>
      <c r="G139" s="10" t="b">
        <f aca="false">TRUE()</f>
        <v>1</v>
      </c>
      <c r="H139" s="6" t="s">
        <v>868</v>
      </c>
      <c r="I139" s="6" t="s">
        <v>869</v>
      </c>
      <c r="J139" s="6" t="s">
        <v>39</v>
      </c>
      <c r="K139" s="7" t="n">
        <v>2999</v>
      </c>
      <c r="L139" s="6" t="s">
        <v>871</v>
      </c>
      <c r="M139" s="6" t="s">
        <v>92</v>
      </c>
    </row>
    <row r="140" customFormat="false" ht="15" hidden="false" customHeight="false" outlineLevel="0" collapsed="false">
      <c r="A140" s="6" t="s">
        <v>880</v>
      </c>
      <c r="B140" s="6" t="s">
        <v>875</v>
      </c>
      <c r="C140" s="6" t="s">
        <v>108</v>
      </c>
      <c r="D140" s="6" t="s">
        <v>108</v>
      </c>
      <c r="E140" s="6" t="s">
        <v>3232</v>
      </c>
      <c r="F140" s="6" t="s">
        <v>881</v>
      </c>
      <c r="G140" s="10" t="b">
        <f aca="false">TRUE()</f>
        <v>1</v>
      </c>
      <c r="H140" s="6" t="s">
        <v>876</v>
      </c>
      <c r="I140" s="6" t="s">
        <v>877</v>
      </c>
      <c r="J140" s="6" t="s">
        <v>39</v>
      </c>
      <c r="K140" s="7" t="n">
        <v>1999</v>
      </c>
      <c r="L140" s="6" t="s">
        <v>3406</v>
      </c>
      <c r="M140" s="6" t="s">
        <v>92</v>
      </c>
    </row>
    <row r="141" customFormat="false" ht="15" hidden="false" customHeight="false" outlineLevel="0" collapsed="false">
      <c r="A141" s="6" t="s">
        <v>1020</v>
      </c>
      <c r="B141" s="6" t="s">
        <v>3407</v>
      </c>
      <c r="C141" s="6" t="s">
        <v>108</v>
      </c>
      <c r="D141" s="6" t="s">
        <v>108</v>
      </c>
      <c r="E141" s="6" t="s">
        <v>3261</v>
      </c>
      <c r="F141" s="6" t="s">
        <v>1021</v>
      </c>
      <c r="G141" s="10" t="b">
        <f aca="false">TRUE()</f>
        <v>1</v>
      </c>
      <c r="H141" s="6" t="s">
        <v>1015</v>
      </c>
      <c r="I141" s="6" t="s">
        <v>1016</v>
      </c>
      <c r="J141" s="6" t="s">
        <v>39</v>
      </c>
      <c r="K141" s="7" t="n">
        <v>2999</v>
      </c>
      <c r="L141" s="6" t="s">
        <v>3408</v>
      </c>
      <c r="M141" s="6" t="s">
        <v>92</v>
      </c>
    </row>
    <row r="142" customFormat="false" ht="15" hidden="false" customHeight="false" outlineLevel="0" collapsed="false">
      <c r="A142" s="6" t="s">
        <v>1245</v>
      </c>
      <c r="B142" s="6" t="s">
        <v>1240</v>
      </c>
      <c r="C142" s="6" t="s">
        <v>108</v>
      </c>
      <c r="D142" s="6" t="s">
        <v>108</v>
      </c>
      <c r="E142" s="6" t="s">
        <v>3247</v>
      </c>
      <c r="F142" s="6" t="s">
        <v>1246</v>
      </c>
      <c r="G142" s="10" t="b">
        <f aca="false">TRUE()</f>
        <v>1</v>
      </c>
      <c r="H142" s="6" t="s">
        <v>1241</v>
      </c>
      <c r="I142" s="6" t="s">
        <v>1242</v>
      </c>
      <c r="J142" s="6" t="s">
        <v>39</v>
      </c>
      <c r="K142" s="7" t="n">
        <v>1999</v>
      </c>
      <c r="L142" s="6" t="s">
        <v>3409</v>
      </c>
      <c r="M142" s="6" t="s">
        <v>92</v>
      </c>
    </row>
    <row r="143" customFormat="false" ht="15" hidden="false" customHeight="false" outlineLevel="0" collapsed="false">
      <c r="A143" s="6" t="s">
        <v>582</v>
      </c>
      <c r="B143" s="6" t="s">
        <v>576</v>
      </c>
      <c r="C143" s="6" t="s">
        <v>108</v>
      </c>
      <c r="D143" s="6" t="s">
        <v>108</v>
      </c>
      <c r="E143" s="6" t="s">
        <v>3261</v>
      </c>
      <c r="F143" s="6" t="s">
        <v>583</v>
      </c>
      <c r="G143" s="10" t="b">
        <f aca="false">TRUE()</f>
        <v>1</v>
      </c>
      <c r="H143" s="6" t="s">
        <v>577</v>
      </c>
      <c r="I143" s="6" t="s">
        <v>578</v>
      </c>
      <c r="J143" s="6" t="s">
        <v>39</v>
      </c>
      <c r="K143" s="7" t="n">
        <v>4200</v>
      </c>
      <c r="L143" s="6" t="s">
        <v>3410</v>
      </c>
      <c r="M143" s="6" t="s">
        <v>92</v>
      </c>
    </row>
    <row r="144" customFormat="false" ht="15" hidden="false" customHeight="false" outlineLevel="0" collapsed="false">
      <c r="A144" s="6" t="s">
        <v>574</v>
      </c>
      <c r="B144" s="6" t="s">
        <v>3411</v>
      </c>
      <c r="C144" s="6" t="s">
        <v>108</v>
      </c>
      <c r="D144" s="6" t="s">
        <v>108</v>
      </c>
      <c r="E144" s="6"/>
      <c r="F144" s="6" t="s">
        <v>575</v>
      </c>
      <c r="G144" s="10" t="b">
        <f aca="false">TRUE()</f>
        <v>1</v>
      </c>
      <c r="H144" s="6" t="s">
        <v>569</v>
      </c>
      <c r="I144" s="6" t="s">
        <v>570</v>
      </c>
      <c r="J144" s="6" t="s">
        <v>39</v>
      </c>
      <c r="K144" s="7" t="n">
        <v>5000</v>
      </c>
      <c r="L144" s="6" t="s">
        <v>3412</v>
      </c>
      <c r="M144" s="6" t="s">
        <v>92</v>
      </c>
    </row>
    <row r="145" customFormat="false" ht="15" hidden="false" customHeight="false" outlineLevel="0" collapsed="false">
      <c r="A145" s="6" t="s">
        <v>887</v>
      </c>
      <c r="B145" s="6" t="s">
        <v>3413</v>
      </c>
      <c r="C145" s="6" t="s">
        <v>108</v>
      </c>
      <c r="D145" s="6" t="s">
        <v>108</v>
      </c>
      <c r="E145" s="6" t="s">
        <v>3232</v>
      </c>
      <c r="F145" s="6" t="s">
        <v>888</v>
      </c>
      <c r="G145" s="10" t="b">
        <f aca="false">TRUE()</f>
        <v>1</v>
      </c>
      <c r="H145" s="6" t="s">
        <v>883</v>
      </c>
      <c r="I145" s="6" t="s">
        <v>884</v>
      </c>
      <c r="J145" s="6" t="s">
        <v>39</v>
      </c>
      <c r="K145" s="7" t="n">
        <v>2499</v>
      </c>
      <c r="L145" s="6" t="s">
        <v>3414</v>
      </c>
      <c r="M145" s="6" t="s">
        <v>92</v>
      </c>
    </row>
    <row r="146" customFormat="false" ht="15" hidden="false" customHeight="false" outlineLevel="0" collapsed="false">
      <c r="A146" s="6" t="s">
        <v>894</v>
      </c>
      <c r="B146" s="6" t="s">
        <v>889</v>
      </c>
      <c r="C146" s="6" t="s">
        <v>108</v>
      </c>
      <c r="D146" s="6" t="s">
        <v>108</v>
      </c>
      <c r="E146" s="6"/>
      <c r="F146" s="6" t="s">
        <v>895</v>
      </c>
      <c r="G146" s="10" t="b">
        <f aca="false">TRUE()</f>
        <v>1</v>
      </c>
      <c r="H146" s="6" t="s">
        <v>890</v>
      </c>
      <c r="I146" s="6" t="s">
        <v>891</v>
      </c>
      <c r="J146" s="6" t="s">
        <v>39</v>
      </c>
      <c r="K146" s="7" t="n">
        <v>5000</v>
      </c>
      <c r="L146" s="6" t="s">
        <v>3415</v>
      </c>
      <c r="M146" s="6" t="s">
        <v>92</v>
      </c>
    </row>
    <row r="147" customFormat="false" ht="15" hidden="false" customHeight="false" outlineLevel="0" collapsed="false">
      <c r="A147" s="6" t="s">
        <v>901</v>
      </c>
      <c r="B147" s="6" t="s">
        <v>896</v>
      </c>
      <c r="C147" s="6" t="s">
        <v>108</v>
      </c>
      <c r="D147" s="6" t="s">
        <v>108</v>
      </c>
      <c r="E147" s="6"/>
      <c r="F147" s="6" t="s">
        <v>902</v>
      </c>
      <c r="G147" s="10" t="b">
        <f aca="false">TRUE()</f>
        <v>1</v>
      </c>
      <c r="H147" s="6" t="s">
        <v>897</v>
      </c>
      <c r="I147" s="6" t="s">
        <v>898</v>
      </c>
      <c r="J147" s="6" t="s">
        <v>39</v>
      </c>
      <c r="K147" s="7" t="n">
        <v>1999</v>
      </c>
      <c r="L147" s="6" t="s">
        <v>3416</v>
      </c>
      <c r="M147" s="6" t="s">
        <v>92</v>
      </c>
    </row>
    <row r="148" customFormat="false" ht="15" hidden="false" customHeight="false" outlineLevel="0" collapsed="false">
      <c r="A148" s="6" t="s">
        <v>3417</v>
      </c>
      <c r="B148" s="6" t="s">
        <v>3418</v>
      </c>
      <c r="C148" s="6" t="s">
        <v>108</v>
      </c>
      <c r="D148" s="6" t="s">
        <v>108</v>
      </c>
      <c r="E148" s="6" t="s">
        <v>3224</v>
      </c>
      <c r="F148" s="6" t="s">
        <v>3419</v>
      </c>
      <c r="G148" s="10" t="b">
        <f aca="false">TRUE()</f>
        <v>1</v>
      </c>
      <c r="H148" s="6" t="s">
        <v>251</v>
      </c>
      <c r="I148" s="6" t="s">
        <v>252</v>
      </c>
      <c r="J148" s="6" t="s">
        <v>39</v>
      </c>
      <c r="K148" s="7" t="n">
        <v>2499</v>
      </c>
      <c r="L148" s="6" t="s">
        <v>3229</v>
      </c>
      <c r="M148" s="6" t="s">
        <v>75</v>
      </c>
    </row>
    <row r="149" customFormat="false" ht="15" hidden="false" customHeight="false" outlineLevel="0" collapsed="false">
      <c r="A149" s="6" t="s">
        <v>493</v>
      </c>
      <c r="B149" s="6" t="s">
        <v>3420</v>
      </c>
      <c r="C149" s="6" t="s">
        <v>108</v>
      </c>
      <c r="D149" s="6" t="s">
        <v>108</v>
      </c>
      <c r="E149" s="6" t="s">
        <v>3224</v>
      </c>
      <c r="F149" s="6" t="s">
        <v>494</v>
      </c>
      <c r="G149" s="10" t="b">
        <f aca="false">TRUE()</f>
        <v>1</v>
      </c>
      <c r="H149" s="6" t="s">
        <v>489</v>
      </c>
      <c r="I149" s="6" t="s">
        <v>490</v>
      </c>
      <c r="J149" s="6" t="s">
        <v>39</v>
      </c>
      <c r="K149" s="7" t="n">
        <v>1999</v>
      </c>
      <c r="L149" s="6" t="s">
        <v>3421</v>
      </c>
      <c r="M149" s="6" t="s">
        <v>92</v>
      </c>
    </row>
    <row r="150" customFormat="false" ht="15" hidden="false" customHeight="false" outlineLevel="0" collapsed="false">
      <c r="A150" s="6" t="s">
        <v>1272</v>
      </c>
      <c r="B150" s="6" t="s">
        <v>1266</v>
      </c>
      <c r="C150" s="6" t="s">
        <v>3422</v>
      </c>
      <c r="D150" s="6" t="s">
        <v>73</v>
      </c>
      <c r="E150" s="6" t="s">
        <v>3423</v>
      </c>
      <c r="F150" s="6" t="s">
        <v>1273</v>
      </c>
      <c r="G150" s="10" t="b">
        <f aca="false">TRUE()</f>
        <v>1</v>
      </c>
      <c r="H150" s="6" t="s">
        <v>1267</v>
      </c>
      <c r="I150" s="6" t="s">
        <v>1268</v>
      </c>
      <c r="J150" s="6" t="s">
        <v>39</v>
      </c>
      <c r="K150" s="7" t="n">
        <v>3500</v>
      </c>
      <c r="L150" s="6" t="s">
        <v>3424</v>
      </c>
      <c r="M150" s="6" t="s">
        <v>92</v>
      </c>
    </row>
    <row r="151" customFormat="false" ht="15" hidden="false" customHeight="false" outlineLevel="0" collapsed="false">
      <c r="A151" s="6" t="s">
        <v>3425</v>
      </c>
      <c r="B151" s="6" t="s">
        <v>434</v>
      </c>
      <c r="C151" s="6" t="s">
        <v>3422</v>
      </c>
      <c r="D151" s="6" t="s">
        <v>73</v>
      </c>
      <c r="E151" s="6" t="s">
        <v>3423</v>
      </c>
      <c r="F151" s="6" t="s">
        <v>3426</v>
      </c>
      <c r="G151" s="10" t="b">
        <f aca="false">TRUE()</f>
        <v>1</v>
      </c>
      <c r="H151" s="6" t="s">
        <v>435</v>
      </c>
      <c r="I151" s="6" t="s">
        <v>436</v>
      </c>
      <c r="J151" s="6" t="s">
        <v>39</v>
      </c>
      <c r="K151" s="7" t="n">
        <v>5000</v>
      </c>
      <c r="L151" s="6" t="s">
        <v>3355</v>
      </c>
      <c r="M151" s="6" t="s">
        <v>92</v>
      </c>
    </row>
    <row r="152" customFormat="false" ht="15" hidden="false" customHeight="false" outlineLevel="0" collapsed="false">
      <c r="A152" s="6" t="s">
        <v>1404</v>
      </c>
      <c r="B152" s="6" t="s">
        <v>1398</v>
      </c>
      <c r="C152" s="6" t="s">
        <v>3422</v>
      </c>
      <c r="D152" s="6" t="s">
        <v>73</v>
      </c>
      <c r="E152" s="6" t="s">
        <v>3423</v>
      </c>
      <c r="F152" s="6" t="s">
        <v>1405</v>
      </c>
      <c r="G152" s="10" t="b">
        <f aca="false">TRUE()</f>
        <v>1</v>
      </c>
      <c r="H152" s="6" t="s">
        <v>1399</v>
      </c>
      <c r="I152" s="6" t="s">
        <v>1400</v>
      </c>
      <c r="J152" s="6" t="s">
        <v>39</v>
      </c>
      <c r="K152" s="7" t="n">
        <v>3500</v>
      </c>
      <c r="L152" s="6" t="s">
        <v>3427</v>
      </c>
      <c r="M152" s="6" t="s">
        <v>92</v>
      </c>
    </row>
    <row r="153" customFormat="false" ht="15" hidden="false" customHeight="false" outlineLevel="0" collapsed="false">
      <c r="A153" s="6" t="s">
        <v>2505</v>
      </c>
      <c r="B153" s="6" t="s">
        <v>3428</v>
      </c>
      <c r="C153" s="6" t="s">
        <v>3422</v>
      </c>
      <c r="D153" s="6" t="s">
        <v>73</v>
      </c>
      <c r="E153" s="6" t="s">
        <v>3429</v>
      </c>
      <c r="F153" s="6" t="s">
        <v>2506</v>
      </c>
      <c r="G153" s="10" t="b">
        <f aca="false">TRUE()</f>
        <v>1</v>
      </c>
      <c r="H153" s="6" t="s">
        <v>2501</v>
      </c>
      <c r="I153" s="6" t="s">
        <v>2502</v>
      </c>
      <c r="J153" s="6" t="s">
        <v>39</v>
      </c>
      <c r="K153" s="7" t="n">
        <v>3500</v>
      </c>
      <c r="L153" s="6" t="s">
        <v>3430</v>
      </c>
      <c r="M153" s="6" t="s">
        <v>92</v>
      </c>
    </row>
    <row r="154" customFormat="false" ht="15" hidden="false" customHeight="false" outlineLevel="0" collapsed="false">
      <c r="A154" s="6" t="s">
        <v>1335</v>
      </c>
      <c r="B154" s="6" t="s">
        <v>1328</v>
      </c>
      <c r="C154" s="6" t="s">
        <v>3422</v>
      </c>
      <c r="D154" s="6" t="s">
        <v>73</v>
      </c>
      <c r="E154" s="6" t="s">
        <v>3431</v>
      </c>
      <c r="F154" s="6" t="s">
        <v>1336</v>
      </c>
      <c r="G154" s="10" t="b">
        <f aca="false">TRUE()</f>
        <v>1</v>
      </c>
      <c r="H154" s="6" t="s">
        <v>1329</v>
      </c>
      <c r="I154" s="6" t="s">
        <v>1330</v>
      </c>
      <c r="J154" s="6" t="s">
        <v>39</v>
      </c>
      <c r="K154" s="7" t="n">
        <v>3500</v>
      </c>
      <c r="L154" s="6" t="s">
        <v>3432</v>
      </c>
      <c r="M154" s="6" t="s">
        <v>92</v>
      </c>
    </row>
    <row r="155" customFormat="false" ht="15" hidden="false" customHeight="false" outlineLevel="0" collapsed="false">
      <c r="A155" s="6" t="s">
        <v>1360</v>
      </c>
      <c r="B155" s="6" t="s">
        <v>1355</v>
      </c>
      <c r="C155" s="6" t="s">
        <v>3422</v>
      </c>
      <c r="D155" s="6" t="s">
        <v>73</v>
      </c>
      <c r="E155" s="6" t="s">
        <v>3429</v>
      </c>
      <c r="F155" s="6" t="s">
        <v>1361</v>
      </c>
      <c r="G155" s="10" t="b">
        <f aca="false">TRUE()</f>
        <v>1</v>
      </c>
      <c r="H155" s="6" t="s">
        <v>1356</v>
      </c>
      <c r="I155" s="6" t="s">
        <v>1357</v>
      </c>
      <c r="J155" s="6" t="s">
        <v>39</v>
      </c>
      <c r="K155" s="7" t="n">
        <v>3500</v>
      </c>
      <c r="L155" s="6" t="s">
        <v>3433</v>
      </c>
      <c r="M155" s="6" t="s">
        <v>92</v>
      </c>
    </row>
    <row r="156" customFormat="false" ht="15" hidden="false" customHeight="false" outlineLevel="0" collapsed="false">
      <c r="A156" s="6" t="s">
        <v>2233</v>
      </c>
      <c r="B156" s="6" t="s">
        <v>2228</v>
      </c>
      <c r="C156" s="6" t="s">
        <v>3422</v>
      </c>
      <c r="D156" s="6" t="s">
        <v>73</v>
      </c>
      <c r="E156" s="6" t="s">
        <v>3429</v>
      </c>
      <c r="F156" s="6" t="s">
        <v>2234</v>
      </c>
      <c r="G156" s="10" t="b">
        <f aca="false">TRUE()</f>
        <v>1</v>
      </c>
      <c r="H156" s="6" t="s">
        <v>2229</v>
      </c>
      <c r="I156" s="6" t="s">
        <v>2230</v>
      </c>
      <c r="J156" s="6" t="s">
        <v>39</v>
      </c>
      <c r="K156" s="7" t="n">
        <v>3500</v>
      </c>
      <c r="L156" s="6" t="s">
        <v>3434</v>
      </c>
      <c r="M156" s="6" t="s">
        <v>92</v>
      </c>
    </row>
    <row r="157" customFormat="false" ht="15" hidden="false" customHeight="false" outlineLevel="0" collapsed="false">
      <c r="A157" s="6" t="s">
        <v>3435</v>
      </c>
      <c r="B157" s="6" t="s">
        <v>3436</v>
      </c>
      <c r="C157" s="6" t="s">
        <v>3422</v>
      </c>
      <c r="D157" s="6" t="s">
        <v>73</v>
      </c>
      <c r="E157" s="6" t="s">
        <v>3429</v>
      </c>
      <c r="F157" s="6" t="s">
        <v>3437</v>
      </c>
      <c r="G157" s="10" t="b">
        <f aca="false">TRUE()</f>
        <v>1</v>
      </c>
      <c r="H157" s="6" t="s">
        <v>2229</v>
      </c>
      <c r="I157" s="6" t="s">
        <v>2230</v>
      </c>
      <c r="J157" s="6" t="s">
        <v>39</v>
      </c>
      <c r="K157" s="7" t="n">
        <v>3500</v>
      </c>
      <c r="L157" s="6" t="s">
        <v>3434</v>
      </c>
      <c r="M157" s="6" t="s">
        <v>75</v>
      </c>
    </row>
    <row r="158" customFormat="false" ht="15" hidden="false" customHeight="false" outlineLevel="0" collapsed="false">
      <c r="A158" s="6" t="s">
        <v>2380</v>
      </c>
      <c r="B158" s="6" t="s">
        <v>2375</v>
      </c>
      <c r="C158" s="6" t="s">
        <v>3422</v>
      </c>
      <c r="D158" s="6" t="s">
        <v>73</v>
      </c>
      <c r="E158" s="6" t="s">
        <v>3429</v>
      </c>
      <c r="F158" s="6" t="s">
        <v>2381</v>
      </c>
      <c r="G158" s="10" t="b">
        <f aca="false">TRUE()</f>
        <v>1</v>
      </c>
      <c r="H158" s="6" t="s">
        <v>2376</v>
      </c>
      <c r="I158" s="6" t="s">
        <v>2377</v>
      </c>
      <c r="J158" s="6" t="s">
        <v>39</v>
      </c>
      <c r="K158" s="7" t="n">
        <v>3500</v>
      </c>
      <c r="L158" s="6" t="s">
        <v>3438</v>
      </c>
      <c r="M158" s="6" t="s">
        <v>92</v>
      </c>
    </row>
    <row r="159" customFormat="false" ht="15" hidden="false" customHeight="false" outlineLevel="0" collapsed="false">
      <c r="A159" s="6" t="s">
        <v>3439</v>
      </c>
      <c r="B159" s="6" t="s">
        <v>3440</v>
      </c>
      <c r="C159" s="6" t="s">
        <v>3422</v>
      </c>
      <c r="D159" s="6" t="s">
        <v>73</v>
      </c>
      <c r="E159" s="6" t="s">
        <v>3429</v>
      </c>
      <c r="F159" s="6" t="s">
        <v>3441</v>
      </c>
      <c r="G159" s="10" t="b">
        <f aca="false">TRUE()</f>
        <v>1</v>
      </c>
      <c r="H159" s="6" t="s">
        <v>2376</v>
      </c>
      <c r="I159" s="6" t="s">
        <v>2377</v>
      </c>
      <c r="J159" s="6" t="s">
        <v>39</v>
      </c>
      <c r="K159" s="7" t="n">
        <v>3500</v>
      </c>
      <c r="L159" s="6" t="s">
        <v>3438</v>
      </c>
      <c r="M159" s="6" t="s">
        <v>75</v>
      </c>
    </row>
    <row r="160" customFormat="false" ht="15" hidden="false" customHeight="false" outlineLevel="0" collapsed="false">
      <c r="A160" s="6" t="s">
        <v>2275</v>
      </c>
      <c r="B160" s="6" t="s">
        <v>2270</v>
      </c>
      <c r="C160" s="6" t="s">
        <v>3422</v>
      </c>
      <c r="D160" s="6" t="s">
        <v>73</v>
      </c>
      <c r="E160" s="6" t="s">
        <v>3429</v>
      </c>
      <c r="F160" s="6" t="s">
        <v>2276</v>
      </c>
      <c r="G160" s="10" t="b">
        <f aca="false">TRUE()</f>
        <v>1</v>
      </c>
      <c r="H160" s="6" t="s">
        <v>2271</v>
      </c>
      <c r="I160" s="6" t="s">
        <v>2272</v>
      </c>
      <c r="J160" s="6" t="s">
        <v>39</v>
      </c>
      <c r="K160" s="7" t="n">
        <v>3500</v>
      </c>
      <c r="L160" s="6" t="s">
        <v>3442</v>
      </c>
      <c r="M160" s="6" t="s">
        <v>92</v>
      </c>
    </row>
    <row r="161" customFormat="false" ht="15" hidden="false" customHeight="false" outlineLevel="0" collapsed="false">
      <c r="A161" s="6" t="s">
        <v>3443</v>
      </c>
      <c r="B161" s="6" t="s">
        <v>3444</v>
      </c>
      <c r="C161" s="6" t="s">
        <v>3422</v>
      </c>
      <c r="D161" s="6" t="s">
        <v>73</v>
      </c>
      <c r="E161" s="6" t="s">
        <v>3429</v>
      </c>
      <c r="F161" s="6" t="s">
        <v>3445</v>
      </c>
      <c r="G161" s="9" t="b">
        <f aca="false">FALSE()</f>
        <v>0</v>
      </c>
      <c r="H161" s="6"/>
      <c r="I161" s="6"/>
      <c r="J161" s="6"/>
      <c r="K161" s="6"/>
      <c r="L161" s="6"/>
      <c r="M161" s="6" t="s">
        <v>3269</v>
      </c>
    </row>
    <row r="162" customFormat="false" ht="15" hidden="false" customHeight="false" outlineLevel="0" collapsed="false">
      <c r="A162" s="6" t="s">
        <v>2368</v>
      </c>
      <c r="B162" s="6" t="s">
        <v>2362</v>
      </c>
      <c r="C162" s="6" t="s">
        <v>3422</v>
      </c>
      <c r="D162" s="6" t="s">
        <v>73</v>
      </c>
      <c r="E162" s="6" t="s">
        <v>3429</v>
      </c>
      <c r="F162" s="6" t="s">
        <v>2369</v>
      </c>
      <c r="G162" s="10" t="b">
        <f aca="false">TRUE()</f>
        <v>1</v>
      </c>
      <c r="H162" s="6" t="s">
        <v>2363</v>
      </c>
      <c r="I162" s="6" t="s">
        <v>2364</v>
      </c>
      <c r="J162" s="6" t="s">
        <v>39</v>
      </c>
      <c r="K162" s="7" t="n">
        <v>3500</v>
      </c>
      <c r="L162" s="6" t="s">
        <v>3446</v>
      </c>
      <c r="M162" s="6" t="s">
        <v>92</v>
      </c>
    </row>
    <row r="163" customFormat="false" ht="15" hidden="false" customHeight="false" outlineLevel="0" collapsed="false">
      <c r="A163" s="6" t="s">
        <v>3447</v>
      </c>
      <c r="B163" s="6" t="s">
        <v>1214</v>
      </c>
      <c r="C163" s="6" t="s">
        <v>3422</v>
      </c>
      <c r="D163" s="6" t="s">
        <v>73</v>
      </c>
      <c r="E163" s="6" t="s">
        <v>3448</v>
      </c>
      <c r="F163" s="6" t="s">
        <v>3449</v>
      </c>
      <c r="G163" s="10" t="b">
        <f aca="false">TRUE()</f>
        <v>1</v>
      </c>
      <c r="H163" s="6" t="s">
        <v>1215</v>
      </c>
      <c r="I163" s="6" t="s">
        <v>1216</v>
      </c>
      <c r="J163" s="6" t="s">
        <v>39</v>
      </c>
      <c r="K163" s="7" t="n">
        <v>1799</v>
      </c>
      <c r="L163" s="6" t="s">
        <v>3278</v>
      </c>
      <c r="M163" s="6" t="s">
        <v>92</v>
      </c>
    </row>
    <row r="164" customFormat="false" ht="15" hidden="false" customHeight="false" outlineLevel="0" collapsed="false">
      <c r="A164" s="6" t="s">
        <v>1434</v>
      </c>
      <c r="B164" s="6" t="s">
        <v>1429</v>
      </c>
      <c r="C164" s="6" t="s">
        <v>3422</v>
      </c>
      <c r="D164" s="6" t="s">
        <v>73</v>
      </c>
      <c r="E164" s="6" t="s">
        <v>3448</v>
      </c>
      <c r="F164" s="6" t="s">
        <v>1435</v>
      </c>
      <c r="G164" s="10" t="b">
        <f aca="false">TRUE()</f>
        <v>1</v>
      </c>
      <c r="H164" s="6" t="s">
        <v>1430</v>
      </c>
      <c r="I164" s="6" t="s">
        <v>1431</v>
      </c>
      <c r="J164" s="6" t="s">
        <v>39</v>
      </c>
      <c r="K164" s="7" t="n">
        <v>3500</v>
      </c>
      <c r="L164" s="6" t="s">
        <v>3450</v>
      </c>
      <c r="M164" s="6" t="s">
        <v>92</v>
      </c>
    </row>
    <row r="165" customFormat="false" ht="15" hidden="false" customHeight="false" outlineLevel="0" collapsed="false">
      <c r="A165" s="6" t="s">
        <v>1458</v>
      </c>
      <c r="B165" s="6" t="s">
        <v>1453</v>
      </c>
      <c r="C165" s="6" t="s">
        <v>3422</v>
      </c>
      <c r="D165" s="6" t="s">
        <v>73</v>
      </c>
      <c r="E165" s="6"/>
      <c r="F165" s="6" t="s">
        <v>1459</v>
      </c>
      <c r="G165" s="10" t="b">
        <f aca="false">TRUE()</f>
        <v>1</v>
      </c>
      <c r="H165" s="6" t="s">
        <v>1454</v>
      </c>
      <c r="I165" s="6" t="s">
        <v>1455</v>
      </c>
      <c r="J165" s="6" t="s">
        <v>39</v>
      </c>
      <c r="K165" s="7" t="n">
        <v>3500</v>
      </c>
      <c r="L165" s="6" t="s">
        <v>3451</v>
      </c>
      <c r="M165" s="6" t="s">
        <v>92</v>
      </c>
    </row>
    <row r="166" customFormat="false" ht="15" hidden="false" customHeight="false" outlineLevel="0" collapsed="false">
      <c r="A166" s="6" t="s">
        <v>90</v>
      </c>
      <c r="B166" s="6" t="s">
        <v>83</v>
      </c>
      <c r="C166" s="6" t="s">
        <v>3422</v>
      </c>
      <c r="D166" s="6" t="s">
        <v>73</v>
      </c>
      <c r="E166" s="6" t="s">
        <v>3452</v>
      </c>
      <c r="F166" s="6" t="s">
        <v>91</v>
      </c>
      <c r="G166" s="10" t="b">
        <f aca="false">TRUE()</f>
        <v>1</v>
      </c>
      <c r="H166" s="6" t="s">
        <v>84</v>
      </c>
      <c r="I166" s="6" t="s">
        <v>85</v>
      </c>
      <c r="J166" s="6" t="s">
        <v>39</v>
      </c>
      <c r="K166" s="7" t="n">
        <v>3500</v>
      </c>
      <c r="L166" s="6" t="s">
        <v>3453</v>
      </c>
      <c r="M166" s="6" t="s">
        <v>92</v>
      </c>
    </row>
    <row r="167" customFormat="false" ht="15" hidden="false" customHeight="false" outlineLevel="0" collapsed="false">
      <c r="A167" s="6" t="s">
        <v>1998</v>
      </c>
      <c r="B167" s="6" t="s">
        <v>3454</v>
      </c>
      <c r="C167" s="6" t="s">
        <v>3422</v>
      </c>
      <c r="D167" s="6" t="s">
        <v>73</v>
      </c>
      <c r="E167" s="6" t="s">
        <v>3455</v>
      </c>
      <c r="F167" s="6" t="s">
        <v>1999</v>
      </c>
      <c r="G167" s="10" t="b">
        <f aca="false">TRUE()</f>
        <v>1</v>
      </c>
      <c r="H167" s="6" t="s">
        <v>1994</v>
      </c>
      <c r="I167" s="6" t="s">
        <v>1995</v>
      </c>
      <c r="J167" s="6" t="s">
        <v>39</v>
      </c>
      <c r="K167" s="7" t="n">
        <v>3500</v>
      </c>
      <c r="L167" s="6" t="s">
        <v>3456</v>
      </c>
      <c r="M167" s="6" t="s">
        <v>75</v>
      </c>
    </row>
    <row r="168" customFormat="false" ht="15" hidden="false" customHeight="false" outlineLevel="0" collapsed="false">
      <c r="A168" s="6" t="s">
        <v>2017</v>
      </c>
      <c r="B168" s="6" t="s">
        <v>3457</v>
      </c>
      <c r="C168" s="6" t="s">
        <v>3422</v>
      </c>
      <c r="D168" s="6" t="s">
        <v>73</v>
      </c>
      <c r="E168" s="6" t="s">
        <v>3455</v>
      </c>
      <c r="F168" s="6" t="s">
        <v>2018</v>
      </c>
      <c r="G168" s="10" t="b">
        <f aca="false">TRUE()</f>
        <v>1</v>
      </c>
      <c r="H168" s="6" t="s">
        <v>2012</v>
      </c>
      <c r="I168" s="6" t="s">
        <v>2013</v>
      </c>
      <c r="J168" s="6" t="s">
        <v>39</v>
      </c>
      <c r="K168" s="7" t="n">
        <v>3500</v>
      </c>
      <c r="L168" s="6" t="s">
        <v>3458</v>
      </c>
      <c r="M168" s="6" t="s">
        <v>75</v>
      </c>
    </row>
    <row r="169" customFormat="false" ht="15" hidden="false" customHeight="false" outlineLevel="0" collapsed="false">
      <c r="A169" s="6" t="s">
        <v>1991</v>
      </c>
      <c r="B169" s="6" t="s">
        <v>3459</v>
      </c>
      <c r="C169" s="6" t="s">
        <v>3422</v>
      </c>
      <c r="D169" s="6" t="s">
        <v>73</v>
      </c>
      <c r="E169" s="6" t="s">
        <v>3455</v>
      </c>
      <c r="F169" s="6" t="s">
        <v>1992</v>
      </c>
      <c r="G169" s="10" t="b">
        <f aca="false">TRUE()</f>
        <v>1</v>
      </c>
      <c r="H169" s="6" t="s">
        <v>1987</v>
      </c>
      <c r="I169" s="6" t="s">
        <v>1988</v>
      </c>
      <c r="J169" s="6" t="s">
        <v>39</v>
      </c>
      <c r="K169" s="7" t="n">
        <v>3500</v>
      </c>
      <c r="L169" s="6" t="s">
        <v>3460</v>
      </c>
      <c r="M169" s="6" t="s">
        <v>75</v>
      </c>
    </row>
    <row r="170" customFormat="false" ht="15" hidden="false" customHeight="false" outlineLevel="0" collapsed="false">
      <c r="A170" s="6" t="s">
        <v>3461</v>
      </c>
      <c r="B170" s="6" t="s">
        <v>3462</v>
      </c>
      <c r="C170" s="6" t="s">
        <v>3422</v>
      </c>
      <c r="D170" s="6" t="s">
        <v>73</v>
      </c>
      <c r="E170" s="6" t="s">
        <v>3455</v>
      </c>
      <c r="F170" s="6" t="s">
        <v>3463</v>
      </c>
      <c r="G170" s="9" t="b">
        <f aca="false">FALSE()</f>
        <v>0</v>
      </c>
      <c r="H170" s="6"/>
      <c r="I170" s="6"/>
      <c r="J170" s="6"/>
      <c r="K170" s="6"/>
      <c r="L170" s="6"/>
      <c r="M170" s="6" t="s">
        <v>3269</v>
      </c>
    </row>
    <row r="171" customFormat="false" ht="15" hidden="false" customHeight="false" outlineLevel="0" collapsed="false">
      <c r="A171" s="6" t="s">
        <v>3464</v>
      </c>
      <c r="B171" s="6" t="s">
        <v>3465</v>
      </c>
      <c r="C171" s="6" t="s">
        <v>3422</v>
      </c>
      <c r="D171" s="6" t="s">
        <v>73</v>
      </c>
      <c r="E171" s="6" t="s">
        <v>3455</v>
      </c>
      <c r="F171" s="6" t="s">
        <v>3466</v>
      </c>
      <c r="G171" s="9" t="b">
        <f aca="false">FALSE()</f>
        <v>0</v>
      </c>
      <c r="H171" s="6"/>
      <c r="I171" s="6"/>
      <c r="J171" s="6"/>
      <c r="K171" s="6"/>
      <c r="L171" s="6"/>
      <c r="M171" s="6" t="s">
        <v>3269</v>
      </c>
    </row>
    <row r="172" customFormat="false" ht="15" hidden="false" customHeight="false" outlineLevel="0" collapsed="false">
      <c r="A172" s="6" t="s">
        <v>3467</v>
      </c>
      <c r="B172" s="6" t="s">
        <v>3468</v>
      </c>
      <c r="C172" s="6" t="s">
        <v>3422</v>
      </c>
      <c r="D172" s="6" t="s">
        <v>73</v>
      </c>
      <c r="E172" s="6" t="s">
        <v>3455</v>
      </c>
      <c r="F172" s="6" t="s">
        <v>3469</v>
      </c>
      <c r="G172" s="9" t="b">
        <f aca="false">FALSE()</f>
        <v>0</v>
      </c>
      <c r="H172" s="6"/>
      <c r="I172" s="6"/>
      <c r="J172" s="6"/>
      <c r="K172" s="6"/>
      <c r="L172" s="6"/>
      <c r="M172" s="6" t="s">
        <v>3269</v>
      </c>
    </row>
    <row r="173" customFormat="false" ht="15" hidden="false" customHeight="false" outlineLevel="0" collapsed="false">
      <c r="A173" s="6" t="s">
        <v>3470</v>
      </c>
      <c r="B173" s="6" t="s">
        <v>3471</v>
      </c>
      <c r="C173" s="6" t="s">
        <v>3422</v>
      </c>
      <c r="D173" s="6" t="s">
        <v>73</v>
      </c>
      <c r="E173" s="6" t="s">
        <v>3472</v>
      </c>
      <c r="F173" s="6" t="s">
        <v>3473</v>
      </c>
      <c r="G173" s="9" t="b">
        <f aca="false">FALSE()</f>
        <v>0</v>
      </c>
      <c r="H173" s="6"/>
      <c r="I173" s="6"/>
      <c r="J173" s="6"/>
      <c r="K173" s="6"/>
      <c r="L173" s="6"/>
      <c r="M173" s="6" t="s">
        <v>3269</v>
      </c>
    </row>
    <row r="174" customFormat="false" ht="15" hidden="false" customHeight="false" outlineLevel="0" collapsed="false">
      <c r="A174" s="6" t="s">
        <v>3474</v>
      </c>
      <c r="B174" s="6" t="s">
        <v>3475</v>
      </c>
      <c r="C174" s="6" t="s">
        <v>3422</v>
      </c>
      <c r="D174" s="6" t="s">
        <v>73</v>
      </c>
      <c r="E174" s="6" t="s">
        <v>3472</v>
      </c>
      <c r="F174" s="6" t="s">
        <v>3476</v>
      </c>
      <c r="G174" s="9" t="b">
        <f aca="false">FALSE()</f>
        <v>0</v>
      </c>
      <c r="H174" s="6"/>
      <c r="I174" s="6"/>
      <c r="J174" s="6"/>
      <c r="K174" s="6"/>
      <c r="L174" s="6"/>
      <c r="M174" s="6" t="s">
        <v>3269</v>
      </c>
    </row>
    <row r="175" customFormat="false" ht="15" hidden="false" customHeight="false" outlineLevel="0" collapsed="false">
      <c r="A175" s="6" t="s">
        <v>2632</v>
      </c>
      <c r="B175" s="6" t="s">
        <v>3477</v>
      </c>
      <c r="C175" s="6" t="s">
        <v>3422</v>
      </c>
      <c r="D175" s="6" t="s">
        <v>73</v>
      </c>
      <c r="E175" s="6" t="s">
        <v>3478</v>
      </c>
      <c r="F175" s="6" t="s">
        <v>2633</v>
      </c>
      <c r="G175" s="10" t="b">
        <f aca="false">TRUE()</f>
        <v>1</v>
      </c>
      <c r="H175" s="6" t="s">
        <v>2628</v>
      </c>
      <c r="I175" s="6" t="s">
        <v>2629</v>
      </c>
      <c r="J175" s="6" t="s">
        <v>39</v>
      </c>
      <c r="K175" s="7" t="n">
        <v>3500</v>
      </c>
      <c r="L175" s="6" t="s">
        <v>3479</v>
      </c>
      <c r="M175" s="6" t="s">
        <v>358</v>
      </c>
    </row>
    <row r="176" customFormat="false" ht="15" hidden="false" customHeight="false" outlineLevel="0" collapsed="false">
      <c r="A176" s="6" t="s">
        <v>2650</v>
      </c>
      <c r="B176" s="6" t="s">
        <v>3480</v>
      </c>
      <c r="C176" s="6" t="s">
        <v>3422</v>
      </c>
      <c r="D176" s="6" t="s">
        <v>73</v>
      </c>
      <c r="E176" s="6" t="s">
        <v>3478</v>
      </c>
      <c r="F176" s="6" t="s">
        <v>2651</v>
      </c>
      <c r="G176" s="10" t="b">
        <f aca="false">TRUE()</f>
        <v>1</v>
      </c>
      <c r="H176" s="6" t="s">
        <v>2645</v>
      </c>
      <c r="I176" s="6" t="s">
        <v>2646</v>
      </c>
      <c r="J176" s="6" t="s">
        <v>39</v>
      </c>
      <c r="K176" s="7" t="n">
        <v>3500</v>
      </c>
      <c r="L176" s="6" t="s">
        <v>3481</v>
      </c>
      <c r="M176" s="6" t="s">
        <v>358</v>
      </c>
    </row>
    <row r="177" customFormat="false" ht="15" hidden="false" customHeight="false" outlineLevel="0" collapsed="false">
      <c r="A177" s="6" t="s">
        <v>2610</v>
      </c>
      <c r="B177" s="6" t="s">
        <v>3482</v>
      </c>
      <c r="C177" s="6" t="s">
        <v>3422</v>
      </c>
      <c r="D177" s="6" t="s">
        <v>73</v>
      </c>
      <c r="E177" s="6" t="s">
        <v>3452</v>
      </c>
      <c r="F177" s="6" t="s">
        <v>2611</v>
      </c>
      <c r="G177" s="10" t="b">
        <f aca="false">TRUE()</f>
        <v>1</v>
      </c>
      <c r="H177" s="6" t="s">
        <v>2606</v>
      </c>
      <c r="I177" s="6" t="s">
        <v>2607</v>
      </c>
      <c r="J177" s="6" t="s">
        <v>39</v>
      </c>
      <c r="K177" s="7" t="n">
        <v>3500</v>
      </c>
      <c r="L177" s="6" t="s">
        <v>3483</v>
      </c>
      <c r="M177" s="6" t="s">
        <v>358</v>
      </c>
    </row>
    <row r="178" customFormat="false" ht="15" hidden="false" customHeight="false" outlineLevel="0" collapsed="false">
      <c r="A178" s="6" t="s">
        <v>3484</v>
      </c>
      <c r="B178" s="6" t="s">
        <v>3485</v>
      </c>
      <c r="C178" s="6" t="s">
        <v>3422</v>
      </c>
      <c r="D178" s="6" t="s">
        <v>73</v>
      </c>
      <c r="E178" s="6" t="s">
        <v>3472</v>
      </c>
      <c r="F178" s="6" t="s">
        <v>3486</v>
      </c>
      <c r="G178" s="9" t="b">
        <f aca="false">FALSE()</f>
        <v>0</v>
      </c>
      <c r="H178" s="6"/>
      <c r="I178" s="6"/>
      <c r="J178" s="6"/>
      <c r="K178" s="6"/>
      <c r="L178" s="6"/>
      <c r="M178" s="6" t="s">
        <v>3269</v>
      </c>
    </row>
    <row r="179" customFormat="false" ht="15" hidden="false" customHeight="false" outlineLevel="0" collapsed="false">
      <c r="A179" s="6" t="s">
        <v>72</v>
      </c>
      <c r="B179" s="6" t="s">
        <v>3487</v>
      </c>
      <c r="C179" s="6" t="s">
        <v>3422</v>
      </c>
      <c r="D179" s="6" t="s">
        <v>73</v>
      </c>
      <c r="E179" s="6" t="s">
        <v>3472</v>
      </c>
      <c r="F179" s="6" t="s">
        <v>74</v>
      </c>
      <c r="G179" s="10" t="b">
        <f aca="false">TRUE()</f>
        <v>1</v>
      </c>
      <c r="H179" s="6" t="s">
        <v>67</v>
      </c>
      <c r="I179" s="6" t="s">
        <v>68</v>
      </c>
      <c r="J179" s="6" t="s">
        <v>39</v>
      </c>
      <c r="K179" s="7" t="n">
        <v>3500</v>
      </c>
      <c r="L179" s="6" t="s">
        <v>3488</v>
      </c>
      <c r="M179" s="6" t="s">
        <v>75</v>
      </c>
    </row>
    <row r="180" customFormat="false" ht="15" hidden="false" customHeight="false" outlineLevel="0" collapsed="false">
      <c r="A180" s="6" t="s">
        <v>2991</v>
      </c>
      <c r="B180" s="6" t="s">
        <v>3489</v>
      </c>
      <c r="C180" s="6" t="s">
        <v>3490</v>
      </c>
      <c r="D180" s="6" t="s">
        <v>2874</v>
      </c>
      <c r="E180" s="6"/>
      <c r="F180" s="6" t="s">
        <v>3491</v>
      </c>
      <c r="G180" s="10" t="b">
        <f aca="false">TRUE()</f>
        <v>1</v>
      </c>
      <c r="H180" s="6" t="s">
        <v>2986</v>
      </c>
      <c r="I180" s="6" t="s">
        <v>2987</v>
      </c>
      <c r="J180" s="6" t="s">
        <v>39</v>
      </c>
      <c r="K180" s="7" t="n">
        <v>11000</v>
      </c>
      <c r="L180" s="6" t="s">
        <v>3492</v>
      </c>
      <c r="M180" s="6" t="s">
        <v>358</v>
      </c>
    </row>
    <row r="181" customFormat="false" ht="15" hidden="false" customHeight="false" outlineLevel="0" collapsed="false">
      <c r="A181" s="6" t="s">
        <v>3003</v>
      </c>
      <c r="B181" s="6" t="s">
        <v>3493</v>
      </c>
      <c r="C181" s="6" t="s">
        <v>3490</v>
      </c>
      <c r="D181" s="6" t="s">
        <v>2874</v>
      </c>
      <c r="E181" s="6"/>
      <c r="F181" s="6" t="s">
        <v>3494</v>
      </c>
      <c r="G181" s="10" t="b">
        <f aca="false">TRUE()</f>
        <v>1</v>
      </c>
      <c r="H181" s="6" t="s">
        <v>2999</v>
      </c>
      <c r="I181" s="6" t="s">
        <v>3000</v>
      </c>
      <c r="J181" s="6" t="s">
        <v>39</v>
      </c>
      <c r="K181" s="7" t="n">
        <v>11000</v>
      </c>
      <c r="L181" s="6" t="s">
        <v>3495</v>
      </c>
      <c r="M181" s="6" t="s">
        <v>358</v>
      </c>
    </row>
    <row r="182" customFormat="false" ht="15" hidden="false" customHeight="false" outlineLevel="0" collapsed="false">
      <c r="A182" s="6" t="s">
        <v>2882</v>
      </c>
      <c r="B182" s="6" t="s">
        <v>2875</v>
      </c>
      <c r="C182" s="6" t="s">
        <v>3490</v>
      </c>
      <c r="D182" s="6" t="s">
        <v>2874</v>
      </c>
      <c r="E182" s="6"/>
      <c r="F182" s="6" t="s">
        <v>3494</v>
      </c>
      <c r="G182" s="10" t="b">
        <f aca="false">TRUE()</f>
        <v>1</v>
      </c>
      <c r="H182" s="6" t="s">
        <v>2876</v>
      </c>
      <c r="I182" s="6" t="s">
        <v>2877</v>
      </c>
      <c r="J182" s="6" t="s">
        <v>39</v>
      </c>
      <c r="K182" s="7" t="n">
        <v>11000</v>
      </c>
      <c r="L182" s="6" t="s">
        <v>3496</v>
      </c>
      <c r="M182" s="6" t="s">
        <v>92</v>
      </c>
    </row>
    <row r="183" customFormat="false" ht="15" hidden="false" customHeight="false" outlineLevel="0" collapsed="false">
      <c r="A183" s="6" t="s">
        <v>2873</v>
      </c>
      <c r="B183" s="6" t="s">
        <v>2865</v>
      </c>
      <c r="C183" s="6" t="s">
        <v>3490</v>
      </c>
      <c r="D183" s="6" t="s">
        <v>2874</v>
      </c>
      <c r="E183" s="6"/>
      <c r="F183" s="6" t="s">
        <v>3494</v>
      </c>
      <c r="G183" s="10" t="b">
        <f aca="false">TRUE()</f>
        <v>1</v>
      </c>
      <c r="H183" s="6" t="s">
        <v>2866</v>
      </c>
      <c r="I183" s="6" t="s">
        <v>2867</v>
      </c>
      <c r="J183" s="6" t="s">
        <v>39</v>
      </c>
      <c r="K183" s="7" t="n">
        <v>10000</v>
      </c>
      <c r="L183" s="6" t="s">
        <v>3497</v>
      </c>
      <c r="M183" s="6" t="s">
        <v>92</v>
      </c>
    </row>
    <row r="184" customFormat="false" ht="15" hidden="false" customHeight="false" outlineLevel="0" collapsed="false">
      <c r="A184" s="6" t="s">
        <v>3498</v>
      </c>
      <c r="B184" s="6" t="s">
        <v>3499</v>
      </c>
      <c r="C184" s="6" t="s">
        <v>3490</v>
      </c>
      <c r="D184" s="6" t="s">
        <v>2874</v>
      </c>
      <c r="E184" s="6"/>
      <c r="F184" s="6" t="s">
        <v>3500</v>
      </c>
      <c r="G184" s="9" t="b">
        <f aca="false">FALSE()</f>
        <v>0</v>
      </c>
      <c r="H184" s="6"/>
      <c r="I184" s="6"/>
      <c r="J184" s="6"/>
      <c r="K184" s="6"/>
      <c r="L184" s="6"/>
      <c r="M184" s="6" t="s">
        <v>3269</v>
      </c>
    </row>
    <row r="185" customFormat="false" ht="15" hidden="false" customHeight="false" outlineLevel="0" collapsed="false">
      <c r="A185" s="6" t="s">
        <v>3501</v>
      </c>
      <c r="B185" s="6" t="s">
        <v>3502</v>
      </c>
      <c r="C185" s="6" t="s">
        <v>3503</v>
      </c>
      <c r="D185" s="6" t="s">
        <v>2776</v>
      </c>
      <c r="E185" s="6"/>
      <c r="F185" s="6" t="s">
        <v>3504</v>
      </c>
      <c r="G185" s="9" t="b">
        <f aca="false">FALSE()</f>
        <v>0</v>
      </c>
      <c r="H185" s="6"/>
      <c r="I185" s="6"/>
      <c r="J185" s="6"/>
      <c r="K185" s="6"/>
      <c r="L185" s="6"/>
      <c r="M185" s="6" t="s">
        <v>3269</v>
      </c>
    </row>
    <row r="186" customFormat="false" ht="15" hidden="false" customHeight="false" outlineLevel="0" collapsed="false">
      <c r="A186" s="6" t="s">
        <v>3505</v>
      </c>
      <c r="B186" s="6" t="s">
        <v>3506</v>
      </c>
      <c r="C186" s="6" t="s">
        <v>3503</v>
      </c>
      <c r="D186" s="6" t="s">
        <v>2776</v>
      </c>
      <c r="E186" s="6"/>
      <c r="F186" s="6" t="s">
        <v>3507</v>
      </c>
      <c r="G186" s="9" t="b">
        <f aca="false">FALSE()</f>
        <v>0</v>
      </c>
      <c r="H186" s="6"/>
      <c r="I186" s="6"/>
      <c r="J186" s="6"/>
      <c r="K186" s="6"/>
      <c r="L186" s="6"/>
      <c r="M186" s="6" t="s">
        <v>3269</v>
      </c>
    </row>
    <row r="187" customFormat="false" ht="15" hidden="false" customHeight="false" outlineLevel="0" collapsed="false">
      <c r="A187" s="6" t="s">
        <v>3508</v>
      </c>
      <c r="B187" s="6" t="s">
        <v>3509</v>
      </c>
      <c r="C187" s="6" t="s">
        <v>3503</v>
      </c>
      <c r="D187" s="6" t="s">
        <v>2776</v>
      </c>
      <c r="E187" s="6"/>
      <c r="F187" s="6" t="s">
        <v>3510</v>
      </c>
      <c r="G187" s="9" t="b">
        <f aca="false">FALSE()</f>
        <v>0</v>
      </c>
      <c r="H187" s="6"/>
      <c r="I187" s="6"/>
      <c r="J187" s="6"/>
      <c r="K187" s="6"/>
      <c r="L187" s="6"/>
      <c r="M187" s="6" t="s">
        <v>3269</v>
      </c>
    </row>
    <row r="188" customFormat="false" ht="15" hidden="false" customHeight="false" outlineLevel="0" collapsed="false">
      <c r="A188" s="6" t="s">
        <v>3511</v>
      </c>
      <c r="B188" s="6" t="s">
        <v>3512</v>
      </c>
      <c r="C188" s="6" t="s">
        <v>3503</v>
      </c>
      <c r="D188" s="6" t="s">
        <v>2776</v>
      </c>
      <c r="E188" s="6"/>
      <c r="F188" s="6" t="s">
        <v>3513</v>
      </c>
      <c r="G188" s="9" t="b">
        <f aca="false">FALSE()</f>
        <v>0</v>
      </c>
      <c r="H188" s="6"/>
      <c r="I188" s="6"/>
      <c r="J188" s="6"/>
      <c r="K188" s="6"/>
      <c r="L188" s="6"/>
      <c r="M188" s="6" t="s">
        <v>3269</v>
      </c>
    </row>
    <row r="189" customFormat="false" ht="15" hidden="false" customHeight="false" outlineLevel="0" collapsed="false">
      <c r="A189" s="6" t="s">
        <v>3514</v>
      </c>
      <c r="B189" s="6" t="s">
        <v>3515</v>
      </c>
      <c r="C189" s="6" t="s">
        <v>3503</v>
      </c>
      <c r="D189" s="6" t="s">
        <v>2776</v>
      </c>
      <c r="E189" s="6"/>
      <c r="F189" s="6" t="s">
        <v>3516</v>
      </c>
      <c r="G189" s="9" t="b">
        <f aca="false">FALSE()</f>
        <v>0</v>
      </c>
      <c r="H189" s="6"/>
      <c r="I189" s="6"/>
      <c r="J189" s="6"/>
      <c r="K189" s="6"/>
      <c r="L189" s="6"/>
      <c r="M189" s="6" t="s">
        <v>3269</v>
      </c>
    </row>
    <row r="190" customFormat="false" ht="15" hidden="false" customHeight="false" outlineLevel="0" collapsed="false">
      <c r="A190" s="6" t="s">
        <v>3517</v>
      </c>
      <c r="B190" s="6" t="s">
        <v>3518</v>
      </c>
      <c r="C190" s="6" t="s">
        <v>3503</v>
      </c>
      <c r="D190" s="6" t="s">
        <v>2776</v>
      </c>
      <c r="E190" s="6"/>
      <c r="F190" s="6" t="s">
        <v>3519</v>
      </c>
      <c r="G190" s="9" t="b">
        <f aca="false">FALSE()</f>
        <v>0</v>
      </c>
      <c r="H190" s="6"/>
      <c r="I190" s="6"/>
      <c r="J190" s="6"/>
      <c r="K190" s="6"/>
      <c r="L190" s="6"/>
      <c r="M190" s="6" t="s">
        <v>3269</v>
      </c>
    </row>
    <row r="191" customFormat="false" ht="15" hidden="false" customHeight="false" outlineLevel="0" collapsed="false">
      <c r="A191" s="6" t="s">
        <v>3520</v>
      </c>
      <c r="B191" s="6" t="s">
        <v>3521</v>
      </c>
      <c r="C191" s="6" t="s">
        <v>3503</v>
      </c>
      <c r="D191" s="6" t="s">
        <v>2776</v>
      </c>
      <c r="E191" s="6"/>
      <c r="F191" s="6" t="s">
        <v>3522</v>
      </c>
      <c r="G191" s="9" t="b">
        <f aca="false">FALSE()</f>
        <v>0</v>
      </c>
      <c r="H191" s="6"/>
      <c r="I191" s="6"/>
      <c r="J191" s="6"/>
      <c r="K191" s="6"/>
      <c r="L191" s="6"/>
      <c r="M191" s="6" t="s">
        <v>3269</v>
      </c>
    </row>
    <row r="192" customFormat="false" ht="15" hidden="false" customHeight="false" outlineLevel="0" collapsed="false">
      <c r="A192" s="6" t="s">
        <v>3523</v>
      </c>
      <c r="B192" s="6" t="s">
        <v>3524</v>
      </c>
      <c r="C192" s="6" t="s">
        <v>3503</v>
      </c>
      <c r="D192" s="6" t="s">
        <v>2776</v>
      </c>
      <c r="E192" s="6"/>
      <c r="F192" s="6" t="s">
        <v>3525</v>
      </c>
      <c r="G192" s="9" t="b">
        <f aca="false">FALSE()</f>
        <v>0</v>
      </c>
      <c r="H192" s="6"/>
      <c r="I192" s="6"/>
      <c r="J192" s="6"/>
      <c r="K192" s="6"/>
      <c r="L192" s="6"/>
      <c r="M192" s="6" t="s">
        <v>3269</v>
      </c>
    </row>
    <row r="193" customFormat="false" ht="15" hidden="false" customHeight="false" outlineLevel="0" collapsed="false">
      <c r="A193" s="6" t="s">
        <v>3526</v>
      </c>
      <c r="B193" s="6" t="s">
        <v>3527</v>
      </c>
      <c r="C193" s="6" t="s">
        <v>3503</v>
      </c>
      <c r="D193" s="6" t="s">
        <v>2776</v>
      </c>
      <c r="E193" s="6"/>
      <c r="F193" s="6" t="s">
        <v>3528</v>
      </c>
      <c r="G193" s="9" t="b">
        <f aca="false">FALSE()</f>
        <v>0</v>
      </c>
      <c r="H193" s="6"/>
      <c r="I193" s="6"/>
      <c r="J193" s="6"/>
      <c r="K193" s="6"/>
      <c r="L193" s="6"/>
      <c r="M193" s="6" t="s">
        <v>3269</v>
      </c>
    </row>
    <row r="194" customFormat="false" ht="15" hidden="false" customHeight="false" outlineLevel="0" collapsed="false">
      <c r="A194" s="6" t="s">
        <v>3529</v>
      </c>
      <c r="B194" s="6" t="s">
        <v>3530</v>
      </c>
      <c r="C194" s="6" t="s">
        <v>3503</v>
      </c>
      <c r="D194" s="6" t="s">
        <v>2776</v>
      </c>
      <c r="E194" s="6"/>
      <c r="F194" s="6" t="s">
        <v>3531</v>
      </c>
      <c r="G194" s="9" t="b">
        <f aca="false">FALSE()</f>
        <v>0</v>
      </c>
      <c r="H194" s="6"/>
      <c r="I194" s="6"/>
      <c r="J194" s="6"/>
      <c r="K194" s="6"/>
      <c r="L194" s="6"/>
      <c r="M194" s="6" t="s">
        <v>3269</v>
      </c>
    </row>
    <row r="195" customFormat="false" ht="15" hidden="false" customHeight="false" outlineLevel="0" collapsed="false">
      <c r="A195" s="6" t="s">
        <v>2775</v>
      </c>
      <c r="B195" s="6" t="s">
        <v>3532</v>
      </c>
      <c r="C195" s="6" t="s">
        <v>3503</v>
      </c>
      <c r="D195" s="6" t="s">
        <v>2776</v>
      </c>
      <c r="E195" s="6"/>
      <c r="F195" s="6" t="s">
        <v>2777</v>
      </c>
      <c r="G195" s="10" t="b">
        <f aca="false">TRUE()</f>
        <v>1</v>
      </c>
      <c r="H195" s="6" t="s">
        <v>2769</v>
      </c>
      <c r="I195" s="6" t="s">
        <v>2770</v>
      </c>
      <c r="J195" s="6" t="s">
        <v>39</v>
      </c>
      <c r="K195" s="7" t="n">
        <v>1499</v>
      </c>
      <c r="L195" s="6" t="s">
        <v>3533</v>
      </c>
      <c r="M195" s="6" t="s">
        <v>358</v>
      </c>
    </row>
    <row r="196" customFormat="false" ht="15" hidden="false" customHeight="false" outlineLevel="0" collapsed="false">
      <c r="A196" s="6" t="s">
        <v>3534</v>
      </c>
      <c r="B196" s="6" t="s">
        <v>3535</v>
      </c>
      <c r="C196" s="6" t="s">
        <v>3503</v>
      </c>
      <c r="D196" s="6" t="s">
        <v>2776</v>
      </c>
      <c r="E196" s="6"/>
      <c r="F196" s="6" t="s">
        <v>3536</v>
      </c>
      <c r="G196" s="9" t="b">
        <f aca="false">FALSE()</f>
        <v>0</v>
      </c>
      <c r="H196" s="6"/>
      <c r="I196" s="6"/>
      <c r="J196" s="6"/>
      <c r="K196" s="6"/>
      <c r="L196" s="6"/>
      <c r="M196" s="6" t="s">
        <v>3269</v>
      </c>
    </row>
    <row r="197" customFormat="false" ht="15" hidden="false" customHeight="false" outlineLevel="0" collapsed="false">
      <c r="A197" s="6" t="s">
        <v>3537</v>
      </c>
      <c r="B197" s="6" t="s">
        <v>3538</v>
      </c>
      <c r="C197" s="6" t="s">
        <v>3503</v>
      </c>
      <c r="D197" s="6" t="s">
        <v>2776</v>
      </c>
      <c r="E197" s="6"/>
      <c r="F197" s="6" t="s">
        <v>3539</v>
      </c>
      <c r="G197" s="9" t="b">
        <f aca="false">FALSE()</f>
        <v>0</v>
      </c>
      <c r="H197" s="6"/>
      <c r="I197" s="6"/>
      <c r="J197" s="6"/>
      <c r="K197" s="6"/>
      <c r="L197" s="6"/>
      <c r="M197" s="6" t="s">
        <v>3269</v>
      </c>
    </row>
    <row r="198" customFormat="false" ht="15" hidden="false" customHeight="false" outlineLevel="0" collapsed="false">
      <c r="A198" s="6" t="s">
        <v>3540</v>
      </c>
      <c r="B198" s="6" t="s">
        <v>3541</v>
      </c>
      <c r="C198" s="6" t="s">
        <v>3503</v>
      </c>
      <c r="D198" s="6" t="s">
        <v>2776</v>
      </c>
      <c r="E198" s="6"/>
      <c r="F198" s="6" t="s">
        <v>3542</v>
      </c>
      <c r="G198" s="9" t="b">
        <f aca="false">FALSE()</f>
        <v>0</v>
      </c>
      <c r="H198" s="6"/>
      <c r="I198" s="6"/>
      <c r="J198" s="6"/>
      <c r="K198" s="6"/>
      <c r="L198" s="6"/>
      <c r="M198" s="6" t="s">
        <v>3269</v>
      </c>
    </row>
    <row r="199" customFormat="false" ht="15" hidden="false" customHeight="false" outlineLevel="0" collapsed="false">
      <c r="A199" s="6" t="s">
        <v>2789</v>
      </c>
      <c r="B199" s="6" t="s">
        <v>3543</v>
      </c>
      <c r="C199" s="6" t="s">
        <v>3503</v>
      </c>
      <c r="D199" s="6" t="s">
        <v>2776</v>
      </c>
      <c r="E199" s="6"/>
      <c r="F199" s="6" t="s">
        <v>2790</v>
      </c>
      <c r="G199" s="10" t="b">
        <f aca="false">TRUE()</f>
        <v>1</v>
      </c>
      <c r="H199" s="6" t="s">
        <v>2785</v>
      </c>
      <c r="I199" s="6" t="s">
        <v>2786</v>
      </c>
      <c r="J199" s="6" t="s">
        <v>39</v>
      </c>
      <c r="K199" s="7" t="n">
        <v>999</v>
      </c>
      <c r="L199" s="6" t="s">
        <v>3544</v>
      </c>
      <c r="M199" s="6" t="s">
        <v>358</v>
      </c>
    </row>
  </sheetData>
  <autoFilter ref="A1:M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6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80"/>
  </cols>
  <sheetData>
    <row r="1" customFormat="false" ht="21.75" hidden="false" customHeight="true" outlineLevel="0" collapsed="false">
      <c r="A1" s="5" t="s">
        <v>3545</v>
      </c>
      <c r="B1" s="5" t="s">
        <v>3546</v>
      </c>
      <c r="C1" s="5" t="s">
        <v>14</v>
      </c>
      <c r="D1" s="5" t="s">
        <v>3547</v>
      </c>
      <c r="E1" s="5" t="s">
        <v>3548</v>
      </c>
      <c r="F1" s="5" t="s">
        <v>3549</v>
      </c>
      <c r="G1" s="5" t="s">
        <v>3550</v>
      </c>
      <c r="H1" s="5" t="s">
        <v>3551</v>
      </c>
    </row>
    <row r="2" customFormat="false" ht="15" hidden="false" customHeight="false" outlineLevel="0" collapsed="false">
      <c r="A2" s="6" t="n">
        <v>1</v>
      </c>
      <c r="B2" s="6" t="s">
        <v>156</v>
      </c>
      <c r="C2" s="6" t="s">
        <v>3552</v>
      </c>
      <c r="D2" s="6" t="s">
        <v>3553</v>
      </c>
      <c r="E2" s="6" t="s">
        <v>108</v>
      </c>
      <c r="F2" s="6" t="n">
        <v>192</v>
      </c>
      <c r="G2" s="6" t="n">
        <v>141</v>
      </c>
      <c r="H2" s="6" t="s">
        <v>3554</v>
      </c>
    </row>
    <row r="3" customFormat="false" ht="15" hidden="false" customHeight="false" outlineLevel="0" collapsed="false">
      <c r="A3" s="6" t="n">
        <v>2</v>
      </c>
      <c r="B3" s="6" t="s">
        <v>3555</v>
      </c>
      <c r="C3" s="6" t="s">
        <v>3556</v>
      </c>
      <c r="D3" s="6" t="s">
        <v>3557</v>
      </c>
      <c r="E3" s="6" t="s">
        <v>108</v>
      </c>
      <c r="F3" s="6" t="n">
        <v>54</v>
      </c>
      <c r="G3" s="6" t="n">
        <v>42</v>
      </c>
      <c r="H3" s="6" t="s">
        <v>3558</v>
      </c>
    </row>
    <row r="4" customFormat="false" ht="15" hidden="false" customHeight="false" outlineLevel="0" collapsed="false">
      <c r="A4" s="6" t="n">
        <v>3</v>
      </c>
      <c r="B4" s="6" t="s">
        <v>3559</v>
      </c>
      <c r="C4" s="6" t="s">
        <v>3560</v>
      </c>
      <c r="D4" s="6" t="s">
        <v>3561</v>
      </c>
      <c r="E4" s="6" t="s">
        <v>3562</v>
      </c>
      <c r="F4" s="6" t="n">
        <v>91</v>
      </c>
      <c r="G4" s="6" t="n">
        <v>12</v>
      </c>
      <c r="H4" s="6" t="s">
        <v>3563</v>
      </c>
    </row>
    <row r="5" customFormat="false" ht="15" hidden="false" customHeight="false" outlineLevel="0" collapsed="false">
      <c r="A5" s="6" t="n">
        <v>4</v>
      </c>
      <c r="B5" s="6" t="s">
        <v>3564</v>
      </c>
      <c r="C5" s="6" t="s">
        <v>3565</v>
      </c>
      <c r="D5" s="6" t="s">
        <v>3566</v>
      </c>
      <c r="E5" s="6" t="s">
        <v>108</v>
      </c>
      <c r="F5" s="6" t="n">
        <v>24</v>
      </c>
      <c r="G5" s="6" t="n">
        <v>12</v>
      </c>
      <c r="H5" s="6" t="s">
        <v>3567</v>
      </c>
    </row>
    <row r="6" customFormat="false" ht="15" hidden="false" customHeight="false" outlineLevel="0" collapsed="false">
      <c r="A6" s="6" t="n">
        <v>5</v>
      </c>
      <c r="B6" s="6" t="s">
        <v>3568</v>
      </c>
      <c r="C6" s="6" t="s">
        <v>3569</v>
      </c>
      <c r="D6" s="6" t="s">
        <v>3570</v>
      </c>
      <c r="E6" s="6" t="s">
        <v>108</v>
      </c>
      <c r="F6" s="6" t="n">
        <v>27</v>
      </c>
      <c r="G6" s="6" t="n">
        <v>22</v>
      </c>
      <c r="H6" s="6" t="s">
        <v>3571</v>
      </c>
    </row>
    <row r="7" customFormat="false" ht="15" hidden="false" customHeight="false" outlineLevel="0" collapsed="false">
      <c r="A7" s="6" t="n">
        <v>6</v>
      </c>
      <c r="B7" s="6" t="s">
        <v>3572</v>
      </c>
      <c r="C7" s="6" t="s">
        <v>3244</v>
      </c>
      <c r="D7" s="6" t="s">
        <v>3573</v>
      </c>
      <c r="E7" s="6" t="s">
        <v>108</v>
      </c>
      <c r="F7" s="6" t="n">
        <v>42</v>
      </c>
      <c r="G7" s="6" t="n">
        <v>20</v>
      </c>
      <c r="H7" s="6" t="s">
        <v>3574</v>
      </c>
    </row>
    <row r="8" customFormat="false" ht="15" hidden="false" customHeight="false" outlineLevel="0" collapsed="false">
      <c r="A8" s="6" t="n">
        <v>7</v>
      </c>
      <c r="B8" s="6" t="s">
        <v>3575</v>
      </c>
      <c r="C8" s="6" t="s">
        <v>3232</v>
      </c>
      <c r="D8" s="6" t="s">
        <v>3576</v>
      </c>
      <c r="E8" s="6" t="s">
        <v>108</v>
      </c>
      <c r="F8" s="6" t="n">
        <v>20</v>
      </c>
      <c r="G8" s="6" t="n">
        <v>12</v>
      </c>
      <c r="H8" s="6" t="s">
        <v>3577</v>
      </c>
    </row>
    <row r="9" customFormat="false" ht="15" hidden="false" customHeight="false" outlineLevel="0" collapsed="false">
      <c r="A9" s="6" t="n">
        <v>8</v>
      </c>
      <c r="B9" s="6" t="s">
        <v>1284</v>
      </c>
      <c r="C9" s="6" t="s">
        <v>3578</v>
      </c>
      <c r="D9" s="6" t="s">
        <v>3579</v>
      </c>
      <c r="E9" s="6" t="s">
        <v>108</v>
      </c>
      <c r="F9" s="6" t="n">
        <v>37</v>
      </c>
      <c r="G9" s="6" t="n">
        <v>19</v>
      </c>
      <c r="H9" s="6" t="s">
        <v>3580</v>
      </c>
    </row>
    <row r="10" customFormat="false" ht="15" hidden="false" customHeight="false" outlineLevel="0" collapsed="false">
      <c r="A10" s="6" t="n">
        <v>9</v>
      </c>
      <c r="B10" s="6" t="s">
        <v>3581</v>
      </c>
      <c r="C10" s="6" t="s">
        <v>3582</v>
      </c>
      <c r="D10" s="6" t="s">
        <v>3583</v>
      </c>
      <c r="E10" s="6" t="s">
        <v>108</v>
      </c>
      <c r="F10" s="6" t="n">
        <v>70</v>
      </c>
      <c r="G10" s="6" t="n">
        <v>40</v>
      </c>
      <c r="H10" s="6" t="s">
        <v>3584</v>
      </c>
    </row>
    <row r="11" customFormat="false" ht="15" hidden="false" customHeight="false" outlineLevel="0" collapsed="false">
      <c r="A11" s="6" t="n">
        <v>10</v>
      </c>
      <c r="B11" s="6" t="s">
        <v>1035</v>
      </c>
      <c r="C11" s="6" t="s">
        <v>3585</v>
      </c>
      <c r="D11" s="6" t="s">
        <v>3586</v>
      </c>
      <c r="E11" s="6" t="s">
        <v>73</v>
      </c>
      <c r="F11" s="6" t="n">
        <v>240</v>
      </c>
      <c r="G11" s="6" t="n">
        <v>19</v>
      </c>
      <c r="H11" s="6" t="s">
        <v>3587</v>
      </c>
    </row>
    <row r="12" customFormat="false" ht="15" hidden="false" customHeight="false" outlineLevel="0" collapsed="false">
      <c r="A12" s="6" t="n">
        <v>11</v>
      </c>
      <c r="B12" s="6" t="s">
        <v>3588</v>
      </c>
      <c r="C12" s="6" t="s">
        <v>3589</v>
      </c>
      <c r="D12" s="6" t="s">
        <v>3590</v>
      </c>
      <c r="E12" s="6" t="s">
        <v>3562</v>
      </c>
      <c r="F12" s="6" t="n">
        <v>38</v>
      </c>
      <c r="G12" s="6" t="n">
        <v>11</v>
      </c>
      <c r="H12" s="6" t="s">
        <v>3591</v>
      </c>
    </row>
    <row r="13" customFormat="false" ht="15" hidden="false" customHeight="false" outlineLevel="0" collapsed="false">
      <c r="A13" s="6" t="n">
        <v>12</v>
      </c>
      <c r="B13" s="6" t="s">
        <v>3592</v>
      </c>
      <c r="C13" s="6" t="s">
        <v>3593</v>
      </c>
      <c r="D13" s="6" t="s">
        <v>3594</v>
      </c>
      <c r="E13" s="6" t="s">
        <v>3562</v>
      </c>
      <c r="F13" s="6" t="n">
        <v>68</v>
      </c>
      <c r="G13" s="6" t="n">
        <v>15</v>
      </c>
      <c r="H13" s="6" t="s">
        <v>3595</v>
      </c>
    </row>
    <row r="14" customFormat="false" ht="15" hidden="false" customHeight="false" outlineLevel="0" collapsed="false">
      <c r="A14" s="6" t="n">
        <v>13</v>
      </c>
      <c r="B14" s="6" t="s">
        <v>3596</v>
      </c>
      <c r="C14" s="6" t="s">
        <v>3597</v>
      </c>
      <c r="D14" s="6" t="s">
        <v>3598</v>
      </c>
      <c r="E14" s="6" t="s">
        <v>3562</v>
      </c>
      <c r="F14" s="6" t="n">
        <v>53</v>
      </c>
      <c r="G14" s="6" t="n">
        <v>0</v>
      </c>
      <c r="H14" s="6" t="s">
        <v>3599</v>
      </c>
    </row>
    <row r="15" customFormat="false" ht="15" hidden="false" customHeight="false" outlineLevel="0" collapsed="false">
      <c r="A15" s="6" t="n">
        <v>14</v>
      </c>
      <c r="B15" s="6" t="s">
        <v>1831</v>
      </c>
      <c r="C15" s="6" t="s">
        <v>3385</v>
      </c>
      <c r="D15" s="6" t="s">
        <v>3600</v>
      </c>
      <c r="E15" s="6" t="s">
        <v>108</v>
      </c>
      <c r="F15" s="6" t="n">
        <v>16</v>
      </c>
      <c r="G15" s="6" t="n">
        <v>2</v>
      </c>
      <c r="H15" s="6" t="s">
        <v>3601</v>
      </c>
    </row>
    <row r="16" customFormat="false" ht="15" hidden="false" customHeight="false" outlineLevel="0" collapsed="false">
      <c r="A16" s="6" t="n">
        <v>15</v>
      </c>
      <c r="B16" s="6" t="s">
        <v>3602</v>
      </c>
      <c r="C16" s="6" t="s">
        <v>3603</v>
      </c>
      <c r="D16" s="6" t="s">
        <v>3604</v>
      </c>
      <c r="E16" s="6" t="s">
        <v>108</v>
      </c>
      <c r="F16" s="6" t="n">
        <v>6</v>
      </c>
      <c r="G16" s="6" t="n">
        <v>1</v>
      </c>
      <c r="H16" s="6" t="s">
        <v>3605</v>
      </c>
    </row>
    <row r="17" customFormat="false" ht="15" hidden="false" customHeight="false" outlineLevel="0" collapsed="false">
      <c r="A17" s="6" t="n">
        <v>16</v>
      </c>
      <c r="B17" s="6" t="s">
        <v>3606</v>
      </c>
      <c r="C17" s="6" t="s">
        <v>3607</v>
      </c>
      <c r="D17" s="6" t="s">
        <v>3608</v>
      </c>
      <c r="E17" s="6" t="s">
        <v>3562</v>
      </c>
      <c r="F17" s="6" t="n">
        <v>12</v>
      </c>
      <c r="G17" s="6" t="n">
        <v>4</v>
      </c>
      <c r="H17" s="6" t="s">
        <v>3609</v>
      </c>
    </row>
    <row r="18" customFormat="false" ht="15" hidden="false" customHeight="false" outlineLevel="0" collapsed="false">
      <c r="A18" s="6" t="n">
        <v>17</v>
      </c>
      <c r="B18" s="6" t="s">
        <v>3610</v>
      </c>
      <c r="C18" s="6" t="s">
        <v>3611</v>
      </c>
      <c r="D18" s="6" t="s">
        <v>3612</v>
      </c>
      <c r="E18" s="6" t="s">
        <v>73</v>
      </c>
      <c r="F18" s="6" t="n">
        <v>12</v>
      </c>
      <c r="G18" s="6" t="n">
        <v>3</v>
      </c>
      <c r="H18" s="6" t="s">
        <v>3613</v>
      </c>
    </row>
    <row r="19" customFormat="false" ht="15" hidden="false" customHeight="false" outlineLevel="0" collapsed="false">
      <c r="A19" s="6" t="n">
        <v>18</v>
      </c>
      <c r="B19" s="6" t="s">
        <v>3614</v>
      </c>
      <c r="C19" s="6" t="s">
        <v>3615</v>
      </c>
      <c r="D19" s="6" t="s">
        <v>3616</v>
      </c>
      <c r="E19" s="6" t="s">
        <v>108</v>
      </c>
      <c r="F19" s="6" t="n">
        <v>8</v>
      </c>
      <c r="G19" s="6" t="n">
        <v>8</v>
      </c>
      <c r="H19" s="6" t="s">
        <v>3617</v>
      </c>
    </row>
    <row r="20" customFormat="false" ht="15" hidden="false" customHeight="false" outlineLevel="0" collapsed="false">
      <c r="A20" s="6" t="n">
        <v>19</v>
      </c>
      <c r="B20" s="6" t="s">
        <v>3618</v>
      </c>
      <c r="C20" s="6" t="s">
        <v>3619</v>
      </c>
      <c r="D20" s="6" t="s">
        <v>3620</v>
      </c>
      <c r="E20" s="6" t="s">
        <v>73</v>
      </c>
      <c r="F20" s="6" t="n">
        <v>17</v>
      </c>
      <c r="G20" s="6" t="n">
        <v>2</v>
      </c>
      <c r="H20" s="6" t="s">
        <v>3621</v>
      </c>
    </row>
    <row r="21" customFormat="false" ht="15" hidden="false" customHeight="false" outlineLevel="0" collapsed="false">
      <c r="A21" s="6" t="n">
        <v>20</v>
      </c>
      <c r="B21" s="6" t="s">
        <v>3622</v>
      </c>
      <c r="C21" s="6" t="s">
        <v>3623</v>
      </c>
      <c r="D21" s="6" t="s">
        <v>3624</v>
      </c>
      <c r="E21" s="6" t="s">
        <v>108</v>
      </c>
      <c r="F21" s="6" t="n">
        <v>10</v>
      </c>
      <c r="G21" s="6" t="n">
        <v>7</v>
      </c>
      <c r="H21" s="6" t="s">
        <v>3625</v>
      </c>
    </row>
    <row r="22" customFormat="false" ht="15" hidden="false" customHeight="false" outlineLevel="0" collapsed="false">
      <c r="A22" s="6" t="n">
        <v>21</v>
      </c>
      <c r="B22" s="6" t="s">
        <v>3626</v>
      </c>
      <c r="C22" s="6" t="s">
        <v>3627</v>
      </c>
      <c r="D22" s="6" t="s">
        <v>3628</v>
      </c>
      <c r="E22" s="6" t="s">
        <v>73</v>
      </c>
      <c r="F22" s="6" t="n">
        <v>83</v>
      </c>
      <c r="G22" s="6" t="n">
        <v>6</v>
      </c>
      <c r="H22" s="6" t="s">
        <v>3629</v>
      </c>
    </row>
    <row r="23" customFormat="false" ht="15" hidden="false" customHeight="false" outlineLevel="0" collapsed="false">
      <c r="A23" s="6" t="n">
        <v>22</v>
      </c>
      <c r="B23" s="6" t="s">
        <v>3630</v>
      </c>
      <c r="C23" s="6" t="s">
        <v>3631</v>
      </c>
      <c r="D23" s="6" t="s">
        <v>3632</v>
      </c>
      <c r="E23" s="6" t="s">
        <v>108</v>
      </c>
      <c r="F23" s="6" t="n">
        <v>14</v>
      </c>
      <c r="G23" s="6" t="n">
        <v>13</v>
      </c>
      <c r="H23" s="6" t="s">
        <v>3633</v>
      </c>
    </row>
    <row r="24" customFormat="false" ht="15" hidden="false" customHeight="false" outlineLevel="0" collapsed="false">
      <c r="A24" s="6" t="n">
        <v>23</v>
      </c>
      <c r="B24" s="6" t="s">
        <v>3634</v>
      </c>
      <c r="C24" s="6" t="s">
        <v>3635</v>
      </c>
      <c r="D24" s="6" t="s">
        <v>3636</v>
      </c>
      <c r="E24" s="6" t="s">
        <v>108</v>
      </c>
      <c r="F24" s="6" t="n">
        <v>19</v>
      </c>
      <c r="G24" s="6" t="n">
        <v>3</v>
      </c>
      <c r="H24" s="6" t="s">
        <v>3637</v>
      </c>
    </row>
    <row r="25" customFormat="false" ht="15" hidden="false" customHeight="false" outlineLevel="0" collapsed="false">
      <c r="A25" s="6" t="n">
        <v>24</v>
      </c>
      <c r="B25" s="6" t="s">
        <v>3638</v>
      </c>
      <c r="C25" s="6" t="s">
        <v>3639</v>
      </c>
      <c r="D25" s="6" t="s">
        <v>3640</v>
      </c>
      <c r="E25" s="6" t="s">
        <v>108</v>
      </c>
      <c r="F25" s="6" t="n">
        <v>29</v>
      </c>
      <c r="G25" s="6" t="n">
        <v>0</v>
      </c>
      <c r="H25" s="6" t="s">
        <v>3641</v>
      </c>
    </row>
    <row r="26" customFormat="false" ht="15" hidden="false" customHeight="false" outlineLevel="0" collapsed="false">
      <c r="A26" s="6" t="n">
        <v>25</v>
      </c>
      <c r="B26" s="6" t="s">
        <v>1665</v>
      </c>
      <c r="C26" s="6" t="s">
        <v>3642</v>
      </c>
      <c r="D26" s="6" t="s">
        <v>3643</v>
      </c>
      <c r="E26" s="6" t="s">
        <v>73</v>
      </c>
      <c r="F26" s="6" t="n">
        <v>24</v>
      </c>
      <c r="G26" s="6" t="n">
        <v>0</v>
      </c>
      <c r="H26" s="6" t="s">
        <v>3644</v>
      </c>
    </row>
    <row r="27" customFormat="false" ht="15" hidden="false" customHeight="false" outlineLevel="0" collapsed="false">
      <c r="A27" s="6" t="n">
        <v>26</v>
      </c>
      <c r="B27" s="6" t="s">
        <v>1214</v>
      </c>
      <c r="C27" s="6" t="s">
        <v>1215</v>
      </c>
      <c r="D27" s="6" t="s">
        <v>3645</v>
      </c>
      <c r="E27" s="6" t="s">
        <v>108</v>
      </c>
      <c r="F27" s="6" t="n">
        <v>5</v>
      </c>
      <c r="G27" s="6" t="n">
        <v>1</v>
      </c>
      <c r="H27" s="6" t="s">
        <v>3646</v>
      </c>
    </row>
    <row r="28" customFormat="false" ht="15" hidden="false" customHeight="false" outlineLevel="0" collapsed="false">
      <c r="A28" s="6" t="n">
        <v>27</v>
      </c>
      <c r="B28" s="6" t="s">
        <v>3647</v>
      </c>
      <c r="C28" s="6" t="s">
        <v>2203</v>
      </c>
      <c r="D28" s="6" t="s">
        <v>3648</v>
      </c>
      <c r="E28" s="6" t="s">
        <v>73</v>
      </c>
      <c r="F28" s="6" t="n">
        <v>69</v>
      </c>
      <c r="G28" s="6" t="n">
        <v>5</v>
      </c>
      <c r="H28" s="6" t="s">
        <v>3649</v>
      </c>
    </row>
    <row r="29" customFormat="false" ht="15" hidden="false" customHeight="false" outlineLevel="0" collapsed="false">
      <c r="A29" s="6" t="n">
        <v>28</v>
      </c>
      <c r="B29" s="6" t="s">
        <v>66</v>
      </c>
      <c r="C29" s="6" t="s">
        <v>3650</v>
      </c>
      <c r="D29" s="6" t="s">
        <v>3651</v>
      </c>
      <c r="E29" s="6" t="s">
        <v>73</v>
      </c>
      <c r="F29" s="6" t="n">
        <v>36</v>
      </c>
      <c r="G29" s="6" t="n">
        <v>4</v>
      </c>
      <c r="H29" s="6" t="s">
        <v>3652</v>
      </c>
    </row>
    <row r="30" customFormat="false" ht="15" hidden="false" customHeight="false" outlineLevel="0" collapsed="false">
      <c r="A30" s="6" t="n">
        <v>29</v>
      </c>
      <c r="B30" s="6" t="s">
        <v>2771</v>
      </c>
      <c r="C30" s="6" t="s">
        <v>3653</v>
      </c>
      <c r="D30" s="6" t="s">
        <v>3654</v>
      </c>
      <c r="E30" s="6" t="s">
        <v>2776</v>
      </c>
      <c r="F30" s="6" t="n">
        <v>13</v>
      </c>
      <c r="G30" s="6" t="n">
        <v>2</v>
      </c>
      <c r="H30" s="6" t="s">
        <v>3655</v>
      </c>
    </row>
    <row r="31" customFormat="false" ht="15" hidden="false" customHeight="false" outlineLevel="0" collapsed="false">
      <c r="A31" s="6" t="n">
        <v>30</v>
      </c>
      <c r="B31" s="6" t="s">
        <v>2823</v>
      </c>
      <c r="C31" s="6" t="s">
        <v>2874</v>
      </c>
      <c r="D31" s="6" t="s">
        <v>3656</v>
      </c>
      <c r="E31" s="6" t="s">
        <v>2874</v>
      </c>
      <c r="F31" s="6" t="n">
        <v>8</v>
      </c>
      <c r="G31" s="6" t="n">
        <v>4</v>
      </c>
      <c r="H31" s="6" t="s">
        <v>3657</v>
      </c>
    </row>
    <row r="32" customFormat="false" ht="15" hidden="false" customHeight="false" outlineLevel="0" collapsed="false">
      <c r="A32" s="6" t="n">
        <v>31</v>
      </c>
      <c r="B32" s="6" t="s">
        <v>3658</v>
      </c>
      <c r="C32" s="6" t="s">
        <v>3659</v>
      </c>
      <c r="D32" s="6" t="s">
        <v>3660</v>
      </c>
      <c r="E32" s="6" t="s">
        <v>2776</v>
      </c>
      <c r="F32" s="6" t="n">
        <v>8</v>
      </c>
      <c r="G32" s="6" t="n">
        <v>0</v>
      </c>
      <c r="H32" s="6" t="s">
        <v>3661</v>
      </c>
    </row>
    <row r="33" customFormat="false" ht="15" hidden="false" customHeight="false" outlineLevel="0" collapsed="false">
      <c r="A33" s="6" t="n">
        <v>32</v>
      </c>
      <c r="B33" s="6" t="s">
        <v>3662</v>
      </c>
      <c r="C33" s="6" t="s">
        <v>3663</v>
      </c>
      <c r="D33" s="6" t="s">
        <v>3664</v>
      </c>
      <c r="E33" s="6" t="s">
        <v>2776</v>
      </c>
      <c r="F33" s="6" t="n">
        <v>2</v>
      </c>
      <c r="G33" s="6" t="n">
        <v>0</v>
      </c>
      <c r="H33" s="6" t="s">
        <v>3665</v>
      </c>
    </row>
    <row r="34" customFormat="false" ht="15" hidden="false" customHeight="false" outlineLevel="0" collapsed="false">
      <c r="A34" s="6" t="n">
        <v>33</v>
      </c>
      <c r="B34" s="6" t="s">
        <v>3666</v>
      </c>
      <c r="C34" s="6" t="s">
        <v>3667</v>
      </c>
      <c r="D34" s="6" t="s">
        <v>3668</v>
      </c>
      <c r="E34" s="6" t="s">
        <v>73</v>
      </c>
      <c r="F34" s="6" t="n">
        <v>20</v>
      </c>
      <c r="G34" s="6" t="n">
        <v>0</v>
      </c>
      <c r="H34" s="6" t="s">
        <v>3669</v>
      </c>
    </row>
    <row r="35" customFormat="false" ht="15" hidden="false" customHeight="false" outlineLevel="0" collapsed="false">
      <c r="A35" s="6" t="n">
        <v>34</v>
      </c>
      <c r="B35" s="6" t="s">
        <v>3670</v>
      </c>
      <c r="C35" s="6" t="s">
        <v>3671</v>
      </c>
      <c r="D35" s="6" t="s">
        <v>3672</v>
      </c>
      <c r="E35" s="6" t="s">
        <v>3671</v>
      </c>
      <c r="F35" s="6" t="n">
        <v>41</v>
      </c>
      <c r="G35" s="6" t="n">
        <v>0</v>
      </c>
      <c r="H35" s="6" t="s">
        <v>3673</v>
      </c>
    </row>
    <row r="36" customFormat="false" ht="15" hidden="false" customHeight="false" outlineLevel="0" collapsed="false">
      <c r="A36" s="6" t="n">
        <v>35</v>
      </c>
      <c r="B36" s="6" t="s">
        <v>3674</v>
      </c>
      <c r="C36" s="6" t="s">
        <v>3675</v>
      </c>
      <c r="D36" s="6" t="s">
        <v>3676</v>
      </c>
      <c r="E36" s="6" t="s">
        <v>3671</v>
      </c>
      <c r="F36" s="6" t="n">
        <v>11</v>
      </c>
      <c r="G36" s="6" t="n">
        <v>0</v>
      </c>
      <c r="H36" s="6" t="s">
        <v>3677</v>
      </c>
    </row>
    <row r="37" customFormat="false" ht="15" hidden="false" customHeight="false" outlineLevel="0" collapsed="false">
      <c r="A37" s="6" t="n">
        <v>36</v>
      </c>
      <c r="B37" s="6" t="s">
        <v>3678</v>
      </c>
      <c r="C37" s="6" t="s">
        <v>3679</v>
      </c>
      <c r="D37" s="6" t="s">
        <v>3680</v>
      </c>
      <c r="E37" s="6" t="s">
        <v>3671</v>
      </c>
      <c r="F37" s="6" t="n">
        <v>20</v>
      </c>
      <c r="G37" s="6" t="n">
        <v>0</v>
      </c>
      <c r="H37" s="6" t="s">
        <v>3681</v>
      </c>
    </row>
    <row r="38" customFormat="false" ht="15" hidden="false" customHeight="false" outlineLevel="0" collapsed="false">
      <c r="A38" s="6" t="n">
        <v>37</v>
      </c>
      <c r="B38" s="6" t="s">
        <v>3682</v>
      </c>
      <c r="C38" s="6" t="s">
        <v>3683</v>
      </c>
      <c r="D38" s="6" t="s">
        <v>3684</v>
      </c>
      <c r="E38" s="6" t="s">
        <v>3671</v>
      </c>
      <c r="F38" s="6" t="n">
        <v>0</v>
      </c>
      <c r="G38" s="6" t="n">
        <v>0</v>
      </c>
      <c r="H38" s="6"/>
    </row>
    <row r="39" customFormat="false" ht="15" hidden="false" customHeight="false" outlineLevel="0" collapsed="false">
      <c r="A39" s="6" t="n">
        <v>38</v>
      </c>
      <c r="B39" s="6" t="s">
        <v>3685</v>
      </c>
      <c r="C39" s="6" t="s">
        <v>3686</v>
      </c>
      <c r="D39" s="6" t="s">
        <v>3687</v>
      </c>
      <c r="E39" s="6" t="s">
        <v>3671</v>
      </c>
      <c r="F39" s="6" t="n">
        <v>10</v>
      </c>
      <c r="G39" s="6" t="n">
        <v>0</v>
      </c>
      <c r="H39" s="6" t="s">
        <v>3673</v>
      </c>
    </row>
  </sheetData>
  <autoFilter ref="A1:H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1" t="s">
        <v>3688</v>
      </c>
    </row>
    <row r="2" customFormat="false" ht="15" hidden="false" customHeight="false" outlineLevel="0" collapsed="false">
      <c r="A2" s="12" t="s">
        <v>32</v>
      </c>
      <c r="B2" s="12" t="s">
        <v>3214</v>
      </c>
      <c r="C2" s="12" t="s">
        <v>3215</v>
      </c>
      <c r="D2" s="12" t="s">
        <v>3689</v>
      </c>
      <c r="E2" s="12" t="s">
        <v>34</v>
      </c>
    </row>
    <row r="3" customFormat="false" ht="15" hidden="false" customHeight="false" outlineLevel="0" collapsed="false">
      <c r="A3" s="3" t="s">
        <v>3266</v>
      </c>
      <c r="B3" s="3" t="s">
        <v>3267</v>
      </c>
      <c r="C3" s="3" t="s">
        <v>108</v>
      </c>
      <c r="D3" s="3" t="s">
        <v>108</v>
      </c>
      <c r="E3" s="3" t="s">
        <v>3268</v>
      </c>
    </row>
    <row r="4" customFormat="false" ht="15" hidden="false" customHeight="false" outlineLevel="0" collapsed="false">
      <c r="A4" s="3" t="s">
        <v>3361</v>
      </c>
      <c r="B4" s="3" t="s">
        <v>3362</v>
      </c>
      <c r="C4" s="3" t="s">
        <v>108</v>
      </c>
      <c r="D4" s="3" t="s">
        <v>108</v>
      </c>
      <c r="E4" s="3" t="s">
        <v>3363</v>
      </c>
    </row>
    <row r="5" customFormat="false" ht="15" hidden="false" customHeight="false" outlineLevel="0" collapsed="false">
      <c r="A5" s="3" t="s">
        <v>3370</v>
      </c>
      <c r="B5" s="3" t="s">
        <v>3371</v>
      </c>
      <c r="C5" s="3" t="s">
        <v>108</v>
      </c>
      <c r="D5" s="3" t="s">
        <v>108</v>
      </c>
      <c r="E5" s="3" t="s">
        <v>3372</v>
      </c>
    </row>
    <row r="6" customFormat="false" ht="15" hidden="false" customHeight="false" outlineLevel="0" collapsed="false">
      <c r="A6" s="3" t="s">
        <v>3373</v>
      </c>
      <c r="B6" s="3" t="s">
        <v>3374</v>
      </c>
      <c r="C6" s="3" t="s">
        <v>108</v>
      </c>
      <c r="D6" s="3" t="s">
        <v>108</v>
      </c>
      <c r="E6" s="3" t="s">
        <v>3375</v>
      </c>
    </row>
    <row r="7" customFormat="false" ht="15" hidden="false" customHeight="false" outlineLevel="0" collapsed="false">
      <c r="A7" s="3" t="s">
        <v>3443</v>
      </c>
      <c r="B7" s="3" t="s">
        <v>3444</v>
      </c>
      <c r="C7" s="3" t="s">
        <v>3422</v>
      </c>
      <c r="D7" s="3" t="s">
        <v>73</v>
      </c>
      <c r="E7" s="3" t="s">
        <v>3445</v>
      </c>
    </row>
    <row r="8" customFormat="false" ht="15" hidden="false" customHeight="false" outlineLevel="0" collapsed="false">
      <c r="A8" s="3" t="s">
        <v>3461</v>
      </c>
      <c r="B8" s="3" t="s">
        <v>3462</v>
      </c>
      <c r="C8" s="3" t="s">
        <v>3422</v>
      </c>
      <c r="D8" s="3" t="s">
        <v>73</v>
      </c>
      <c r="E8" s="3" t="s">
        <v>3463</v>
      </c>
    </row>
    <row r="9" customFormat="false" ht="15" hidden="false" customHeight="false" outlineLevel="0" collapsed="false">
      <c r="A9" s="3" t="s">
        <v>3464</v>
      </c>
      <c r="B9" s="3" t="s">
        <v>3465</v>
      </c>
      <c r="C9" s="3" t="s">
        <v>3422</v>
      </c>
      <c r="D9" s="3" t="s">
        <v>73</v>
      </c>
      <c r="E9" s="3" t="s">
        <v>3466</v>
      </c>
    </row>
    <row r="10" customFormat="false" ht="15" hidden="false" customHeight="false" outlineLevel="0" collapsed="false">
      <c r="A10" s="3" t="s">
        <v>3467</v>
      </c>
      <c r="B10" s="3" t="s">
        <v>3468</v>
      </c>
      <c r="C10" s="3" t="s">
        <v>3422</v>
      </c>
      <c r="D10" s="3" t="s">
        <v>73</v>
      </c>
      <c r="E10" s="3" t="s">
        <v>3469</v>
      </c>
    </row>
    <row r="11" customFormat="false" ht="15" hidden="false" customHeight="false" outlineLevel="0" collapsed="false">
      <c r="A11" s="3" t="s">
        <v>3470</v>
      </c>
      <c r="B11" s="3" t="s">
        <v>3471</v>
      </c>
      <c r="C11" s="3" t="s">
        <v>3422</v>
      </c>
      <c r="D11" s="3" t="s">
        <v>73</v>
      </c>
      <c r="E11" s="3" t="s">
        <v>3473</v>
      </c>
    </row>
    <row r="12" customFormat="false" ht="15" hidden="false" customHeight="false" outlineLevel="0" collapsed="false">
      <c r="A12" s="3" t="s">
        <v>3474</v>
      </c>
      <c r="B12" s="3" t="s">
        <v>3475</v>
      </c>
      <c r="C12" s="3" t="s">
        <v>3422</v>
      </c>
      <c r="D12" s="3" t="s">
        <v>73</v>
      </c>
      <c r="E12" s="3" t="s">
        <v>3476</v>
      </c>
    </row>
    <row r="13" customFormat="false" ht="15" hidden="false" customHeight="false" outlineLevel="0" collapsed="false">
      <c r="A13" s="3" t="s">
        <v>3484</v>
      </c>
      <c r="B13" s="3" t="s">
        <v>3485</v>
      </c>
      <c r="C13" s="3" t="s">
        <v>3422</v>
      </c>
      <c r="D13" s="3" t="s">
        <v>73</v>
      </c>
      <c r="E13" s="3" t="s">
        <v>3486</v>
      </c>
    </row>
    <row r="14" customFormat="false" ht="15" hidden="false" customHeight="false" outlineLevel="0" collapsed="false">
      <c r="A14" s="3" t="s">
        <v>3498</v>
      </c>
      <c r="B14" s="3" t="s">
        <v>3499</v>
      </c>
      <c r="C14" s="3" t="s">
        <v>3490</v>
      </c>
      <c r="D14" s="3" t="s">
        <v>2874</v>
      </c>
      <c r="E14" s="3"/>
    </row>
    <row r="15" customFormat="false" ht="15" hidden="false" customHeight="false" outlineLevel="0" collapsed="false">
      <c r="A15" s="3" t="s">
        <v>3501</v>
      </c>
      <c r="B15" s="3" t="s">
        <v>3502</v>
      </c>
      <c r="C15" s="3" t="s">
        <v>3503</v>
      </c>
      <c r="D15" s="3" t="s">
        <v>2776</v>
      </c>
      <c r="E15" s="3" t="s">
        <v>3504</v>
      </c>
    </row>
    <row r="16" customFormat="false" ht="15" hidden="false" customHeight="false" outlineLevel="0" collapsed="false">
      <c r="A16" s="3" t="s">
        <v>3505</v>
      </c>
      <c r="B16" s="3" t="s">
        <v>3506</v>
      </c>
      <c r="C16" s="3" t="s">
        <v>3503</v>
      </c>
      <c r="D16" s="3" t="s">
        <v>2776</v>
      </c>
      <c r="E16" s="3" t="s">
        <v>3507</v>
      </c>
    </row>
    <row r="17" customFormat="false" ht="15" hidden="false" customHeight="false" outlineLevel="0" collapsed="false">
      <c r="A17" s="3" t="s">
        <v>3508</v>
      </c>
      <c r="B17" s="3" t="s">
        <v>3509</v>
      </c>
      <c r="C17" s="3" t="s">
        <v>3503</v>
      </c>
      <c r="D17" s="3" t="s">
        <v>2776</v>
      </c>
      <c r="E17" s="3" t="s">
        <v>3510</v>
      </c>
    </row>
    <row r="18" customFormat="false" ht="15" hidden="false" customHeight="false" outlineLevel="0" collapsed="false">
      <c r="A18" s="3" t="s">
        <v>3511</v>
      </c>
      <c r="B18" s="3" t="s">
        <v>3512</v>
      </c>
      <c r="C18" s="3" t="s">
        <v>3503</v>
      </c>
      <c r="D18" s="3" t="s">
        <v>2776</v>
      </c>
      <c r="E18" s="3" t="s">
        <v>3513</v>
      </c>
    </row>
    <row r="19" customFormat="false" ht="15" hidden="false" customHeight="false" outlineLevel="0" collapsed="false">
      <c r="A19" s="3" t="s">
        <v>3514</v>
      </c>
      <c r="B19" s="3" t="s">
        <v>3515</v>
      </c>
      <c r="C19" s="3" t="s">
        <v>3503</v>
      </c>
      <c r="D19" s="3" t="s">
        <v>2776</v>
      </c>
      <c r="E19" s="3" t="s">
        <v>3516</v>
      </c>
    </row>
    <row r="20" customFormat="false" ht="15" hidden="false" customHeight="false" outlineLevel="0" collapsed="false">
      <c r="A20" s="3" t="s">
        <v>3517</v>
      </c>
      <c r="B20" s="3" t="s">
        <v>3518</v>
      </c>
      <c r="C20" s="3" t="s">
        <v>3503</v>
      </c>
      <c r="D20" s="3" t="s">
        <v>2776</v>
      </c>
      <c r="E20" s="3" t="s">
        <v>3519</v>
      </c>
    </row>
    <row r="21" customFormat="false" ht="15" hidden="false" customHeight="false" outlineLevel="0" collapsed="false">
      <c r="A21" s="3" t="s">
        <v>3520</v>
      </c>
      <c r="B21" s="3" t="s">
        <v>3521</v>
      </c>
      <c r="C21" s="3" t="s">
        <v>3503</v>
      </c>
      <c r="D21" s="3" t="s">
        <v>2776</v>
      </c>
      <c r="E21" s="3" t="s">
        <v>3522</v>
      </c>
    </row>
    <row r="22" customFormat="false" ht="15" hidden="false" customHeight="false" outlineLevel="0" collapsed="false">
      <c r="A22" s="3" t="s">
        <v>3523</v>
      </c>
      <c r="B22" s="3" t="s">
        <v>3524</v>
      </c>
      <c r="C22" s="3" t="s">
        <v>3503</v>
      </c>
      <c r="D22" s="3" t="s">
        <v>2776</v>
      </c>
      <c r="E22" s="3" t="s">
        <v>3525</v>
      </c>
    </row>
    <row r="23" customFormat="false" ht="15" hidden="false" customHeight="false" outlineLevel="0" collapsed="false">
      <c r="A23" s="3" t="s">
        <v>3526</v>
      </c>
      <c r="B23" s="3" t="s">
        <v>3527</v>
      </c>
      <c r="C23" s="3" t="s">
        <v>3503</v>
      </c>
      <c r="D23" s="3" t="s">
        <v>2776</v>
      </c>
      <c r="E23" s="3" t="s">
        <v>3528</v>
      </c>
    </row>
    <row r="24" customFormat="false" ht="15" hidden="false" customHeight="false" outlineLevel="0" collapsed="false">
      <c r="A24" s="3" t="s">
        <v>3529</v>
      </c>
      <c r="B24" s="3" t="s">
        <v>3530</v>
      </c>
      <c r="C24" s="3" t="s">
        <v>3503</v>
      </c>
      <c r="D24" s="3" t="s">
        <v>2776</v>
      </c>
      <c r="E24" s="3" t="s">
        <v>3531</v>
      </c>
    </row>
    <row r="25" customFormat="false" ht="15" hidden="false" customHeight="false" outlineLevel="0" collapsed="false">
      <c r="A25" s="3" t="s">
        <v>3534</v>
      </c>
      <c r="B25" s="3" t="s">
        <v>3535</v>
      </c>
      <c r="C25" s="3" t="s">
        <v>3503</v>
      </c>
      <c r="D25" s="3" t="s">
        <v>2776</v>
      </c>
      <c r="E25" s="3" t="s">
        <v>3536</v>
      </c>
    </row>
    <row r="26" customFormat="false" ht="15" hidden="false" customHeight="false" outlineLevel="0" collapsed="false">
      <c r="A26" s="3" t="s">
        <v>3537</v>
      </c>
      <c r="B26" s="3" t="s">
        <v>3538</v>
      </c>
      <c r="C26" s="3" t="s">
        <v>3503</v>
      </c>
      <c r="D26" s="3" t="s">
        <v>2776</v>
      </c>
      <c r="E26" s="3" t="s">
        <v>3539</v>
      </c>
    </row>
    <row r="27" customFormat="false" ht="15" hidden="false" customHeight="false" outlineLevel="0" collapsed="false">
      <c r="A27" s="3" t="s">
        <v>3540</v>
      </c>
      <c r="B27" s="3" t="s">
        <v>3541</v>
      </c>
      <c r="C27" s="3" t="s">
        <v>3503</v>
      </c>
      <c r="D27" s="3" t="s">
        <v>2776</v>
      </c>
      <c r="E27" s="3" t="s">
        <v>3542</v>
      </c>
    </row>
    <row r="30" customFormat="false" ht="15" hidden="false" customHeight="false" outlineLevel="0" collapsed="false">
      <c r="A30" s="13" t="s">
        <v>3690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2026-07-12T15:03:44Z</dcterms:created>
  <dc:creator>openpyxl</dc:creator>
  <dc:description/>
  <dc:language>en-US</dc:language>
  <cp:lastModifiedBy/>
  <dcterms:modified xsi:type="dcterms:W3CDTF">2026-07-12T15:03:45Z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